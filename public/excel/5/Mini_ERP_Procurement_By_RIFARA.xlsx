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tables/table1.xml" ContentType="application/vnd.openxmlformats-officedocument.spreadsheetml.table+xml"/>
  <Override PartName="/xl/drawings/drawing6.xml" ContentType="application/vnd.openxmlformats-officedocument.drawing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ExcelTemplate\"/>
    </mc:Choice>
  </mc:AlternateContent>
  <xr:revisionPtr revIDLastSave="0" documentId="13_ncr:1_{5A620325-48B6-43C2-BE91-9D4D9E098AE4}" xr6:coauthVersionLast="47" xr6:coauthVersionMax="47" xr10:uidLastSave="{00000000-0000-0000-0000-000000000000}"/>
  <bookViews>
    <workbookView xWindow="-108" yWindow="-108" windowWidth="23256" windowHeight="13176" firstSheet="1" activeTab="6" xr2:uid="{348822C3-E756-4E17-A07C-92C608940ECE}"/>
  </bookViews>
  <sheets>
    <sheet name="1. Purchase Order" sheetId="1" r:id="rId1"/>
    <sheet name="2. Surat Jalan" sheetId="2" r:id="rId2"/>
    <sheet name="3. BAST" sheetId="3" r:id="rId3"/>
    <sheet name="4. Surat Retur" sheetId="4" r:id="rId4"/>
    <sheet name="5. Faktur Invoice" sheetId="5" r:id="rId5"/>
    <sheet name="6. Kwitansi" sheetId="6" r:id="rId6"/>
    <sheet name="Master Data" sheetId="7" r:id="rId7"/>
  </sheets>
  <definedNames>
    <definedName name="LIST_DATA_BARANG">#REF!</definedName>
    <definedName name="LIST_DATA_PELANGGAN">#REF!</definedName>
    <definedName name="LIST_KODE_DATABARANG">#REF!</definedName>
    <definedName name="LIST_NAMA_PELANGGAN">#REF!</definedName>
    <definedName name="_xlnm.Print_Area" localSheetId="0">'1. Purchase Order'!$A$1:$I$45</definedName>
    <definedName name="_xlnm.Print_Area" localSheetId="1">'2. Surat Jalan'!$B$2:$H$48</definedName>
    <definedName name="_xlnm.Print_Area" localSheetId="2">'3. BAST'!$A$1:$I$66</definedName>
    <definedName name="_xlnm.Print_Area" localSheetId="3">'4. Surat Retur'!$B$2:$J$56</definedName>
    <definedName name="_xlnm.Print_Area" localSheetId="4">'5. Faktur Invoice'!$B$2:$J$38</definedName>
    <definedName name="_xlnm.Print_Area" localSheetId="5">'6. Kwitansi'!$A$1:$K$28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8" i="6" l="1"/>
  <c r="F14" i="5"/>
  <c r="F15" i="5"/>
  <c r="F16" i="5"/>
  <c r="F17" i="5"/>
  <c r="F18" i="5"/>
  <c r="F19" i="5"/>
  <c r="F20" i="5"/>
  <c r="F21" i="5"/>
  <c r="H20" i="5"/>
  <c r="I20" i="5" s="1"/>
  <c r="H15" i="5"/>
  <c r="I15" i="5" s="1"/>
  <c r="H17" i="5"/>
  <c r="H14" i="5"/>
  <c r="I14" i="5" s="1"/>
  <c r="H16" i="5"/>
  <c r="I16" i="5" s="1"/>
  <c r="H18" i="5"/>
  <c r="H21" i="5"/>
  <c r="D22" i="4"/>
  <c r="B12" i="4"/>
  <c r="D41" i="3"/>
  <c r="D40" i="3"/>
  <c r="D39" i="3"/>
  <c r="D38" i="3"/>
  <c r="D37" i="3"/>
  <c r="D36" i="3"/>
  <c r="D35" i="3"/>
  <c r="D34" i="3"/>
  <c r="C9" i="5"/>
  <c r="C8" i="5"/>
  <c r="C7" i="5"/>
  <c r="H9" i="5"/>
  <c r="H8" i="5"/>
  <c r="G14" i="5"/>
  <c r="G15" i="5"/>
  <c r="G16" i="5"/>
  <c r="G17" i="5"/>
  <c r="G18" i="5"/>
  <c r="G19" i="5"/>
  <c r="G20" i="5"/>
  <c r="G21" i="5"/>
  <c r="E15" i="5"/>
  <c r="E16" i="5"/>
  <c r="E17" i="5"/>
  <c r="E18" i="5"/>
  <c r="E19" i="5"/>
  <c r="E20" i="5"/>
  <c r="E21" i="5"/>
  <c r="E14" i="5"/>
  <c r="D15" i="5"/>
  <c r="D16" i="5"/>
  <c r="D17" i="5"/>
  <c r="D18" i="5"/>
  <c r="D19" i="5"/>
  <c r="D20" i="5"/>
  <c r="D21" i="5"/>
  <c r="D14" i="5"/>
  <c r="G10" i="2" a="1"/>
  <c r="G10" i="2" s="1"/>
  <c r="G9" i="2" a="1"/>
  <c r="G9" i="2" s="1"/>
  <c r="E18" i="2"/>
  <c r="E19" i="2"/>
  <c r="E20" i="2"/>
  <c r="E21" i="2"/>
  <c r="E22" i="2"/>
  <c r="E23" i="2"/>
  <c r="E17" i="2"/>
  <c r="D17" i="2"/>
  <c r="D18" i="2"/>
  <c r="D19" i="2"/>
  <c r="D20" i="2"/>
  <c r="D21" i="2"/>
  <c r="D22" i="2"/>
  <c r="D23" i="2"/>
  <c r="C18" i="2"/>
  <c r="C19" i="2"/>
  <c r="C20" i="2"/>
  <c r="C21" i="2"/>
  <c r="C22" i="2"/>
  <c r="C23" i="2"/>
  <c r="C17" i="2"/>
  <c r="D12" i="2"/>
  <c r="D11" i="2"/>
  <c r="D46" i="2" s="1"/>
  <c r="D10" i="2"/>
  <c r="D9" i="2"/>
  <c r="G12" i="2"/>
  <c r="G8" i="2"/>
  <c r="I17" i="5" l="1"/>
  <c r="H19" i="5"/>
  <c r="I19" i="5" s="1"/>
  <c r="I21" i="5"/>
  <c r="I18" i="5"/>
  <c r="H6" i="1"/>
  <c r="H16" i="1"/>
  <c r="H15" i="1"/>
  <c r="H14" i="1"/>
  <c r="F12" i="1"/>
  <c r="B16" i="1"/>
  <c r="B15" i="1"/>
  <c r="A12" i="1"/>
  <c r="A11" i="1"/>
  <c r="G20" i="1"/>
  <c r="I20" i="1" s="1"/>
  <c r="G21" i="1"/>
  <c r="I21" i="1" s="1"/>
  <c r="G22" i="1"/>
  <c r="I22" i="1" s="1"/>
  <c r="G23" i="1"/>
  <c r="I23" i="1" s="1"/>
  <c r="G24" i="1"/>
  <c r="I24" i="1" s="1"/>
  <c r="G25" i="1"/>
  <c r="I25" i="1" s="1"/>
  <c r="G26" i="1"/>
  <c r="I26" i="1" s="1"/>
  <c r="G19" i="1"/>
  <c r="I19" i="1" s="1"/>
  <c r="C20" i="1"/>
  <c r="C21" i="1"/>
  <c r="C22" i="1"/>
  <c r="C23" i="1"/>
  <c r="C24" i="1"/>
  <c r="C25" i="1"/>
  <c r="C26" i="1"/>
  <c r="C19" i="1"/>
  <c r="I23" i="5" l="1"/>
  <c r="I27" i="1"/>
  <c r="I29" i="1" s="1"/>
  <c r="I31" i="1" s="1"/>
  <c r="I22" i="5" l="1"/>
  <c r="I24" i="5" l="1"/>
  <c r="I25" i="5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<sst xmlns="http://schemas.openxmlformats.org/spreadsheetml/2006/main" count="325" uniqueCount="230">
  <si>
    <t>Kode</t>
  </si>
  <si>
    <t>Deskripsi Barang</t>
  </si>
  <si>
    <t>QTY</t>
  </si>
  <si>
    <t>Harga</t>
  </si>
  <si>
    <t>Total</t>
  </si>
  <si>
    <t>No.</t>
  </si>
  <si>
    <t>Satuan</t>
  </si>
  <si>
    <t>PT TEKNO BERSAMA</t>
  </si>
  <si>
    <t>Jl. Jenderal Sudirman No. 45, Jakarta Pusat, 10220</t>
  </si>
  <si>
    <t>Telp: (021) 777-8889 | Email:</t>
  </si>
  <si>
    <t>purchasing@teknobersama.com</t>
  </si>
  <si>
    <t>NPWP: 01.234.567.8-091.000</t>
  </si>
  <si>
    <t>TANGGAL</t>
  </si>
  <si>
    <t>NO. PO</t>
  </si>
  <si>
    <t>PURCHASE 
ORDER</t>
  </si>
  <si>
    <t>PO/TB/08/2026/045</t>
  </si>
  <si>
    <t>PT. BeSmart Indonesia Gemilang</t>
  </si>
  <si>
    <t>Jl. Merdeka Indonesia, Kota Tangerang</t>
  </si>
  <si>
    <t>KIRIM KE (SHIPPING)</t>
  </si>
  <si>
    <t>INFORMASI VENDOR</t>
  </si>
  <si>
    <t>KODE</t>
  </si>
  <si>
    <t>DESKRIPSI BARANG</t>
  </si>
  <si>
    <t>TOTAL</t>
  </si>
  <si>
    <t>HARGA</t>
  </si>
  <si>
    <t>NO.</t>
  </si>
  <si>
    <t>Syarat &amp; Ketentuan:</t>
  </si>
  <si>
    <t>1. Termin Pembayaran: Net 30 Days setelah invoice diterima.</t>
  </si>
  <si>
    <t>4. Keterlambatan pengiriman dapat mengakibatkan pembatalan PO.</t>
  </si>
  <si>
    <t>Pihak Vendor</t>
  </si>
  <si>
    <t>Staff Purchasing</t>
  </si>
  <si>
    <t>Manajer Keuangan</t>
  </si>
  <si>
    <t>Sub Total</t>
  </si>
  <si>
    <t>PPN (11%)</t>
  </si>
  <si>
    <t>3. Barang harus dikirim dalam kondisi baru, original, dan dipacking aman.</t>
  </si>
  <si>
    <t>A01</t>
  </si>
  <si>
    <t>A02</t>
  </si>
  <si>
    <t>A03</t>
  </si>
  <si>
    <t>A04</t>
  </si>
  <si>
    <t>A05</t>
  </si>
  <si>
    <t>A06</t>
  </si>
  <si>
    <t>A07</t>
  </si>
  <si>
    <t>A08</t>
  </si>
  <si>
    <t>A09</t>
  </si>
  <si>
    <t>A10</t>
  </si>
  <si>
    <t>Mouse Gaming</t>
  </si>
  <si>
    <t>Keyboard</t>
  </si>
  <si>
    <t>Monitor LED</t>
  </si>
  <si>
    <t>CPU</t>
  </si>
  <si>
    <t>Kursi Gaming</t>
  </si>
  <si>
    <t>Headset Gaming</t>
  </si>
  <si>
    <t>Sarung Jempol Gaming</t>
  </si>
  <si>
    <t>Meja PC Gaming</t>
  </si>
  <si>
    <t>Speaker Super Bass</t>
  </si>
  <si>
    <t>Harddisk Eksternal 512GB</t>
  </si>
  <si>
    <t>SUB TOTAL</t>
  </si>
  <si>
    <t>Nomor PO</t>
  </si>
  <si>
    <t>Perusahaan Vendor</t>
  </si>
  <si>
    <t>Alamat Vendor</t>
  </si>
  <si>
    <t>UP Vendor</t>
  </si>
  <si>
    <t>Telp</t>
  </si>
  <si>
    <t>0812-XXXX-XXXX</t>
  </si>
  <si>
    <t>PO/TB/08/2026/046</t>
  </si>
  <si>
    <t>PO/TB/08/2026/047</t>
  </si>
  <si>
    <t>PO/TB/08/2026/048</t>
  </si>
  <si>
    <t>PO/TB/08/2026/049</t>
  </si>
  <si>
    <t>PO/TB/08/2026/050</t>
  </si>
  <si>
    <t>Perusahaan Shipping</t>
  </si>
  <si>
    <t>Alamat Shipping</t>
  </si>
  <si>
    <t>UP Shipping</t>
  </si>
  <si>
    <t>Telp Shipping</t>
  </si>
  <si>
    <t>0812-XXXX-6XXX</t>
  </si>
  <si>
    <t>Gudang PT. Tekno Bersama Cikupa</t>
  </si>
  <si>
    <t>Gudang PT. Tekno Bersama Jatiuwung</t>
  </si>
  <si>
    <t>Kawasan Industri Pulo Gadung Blok A1, Cikupa</t>
  </si>
  <si>
    <t>Kawasan Industri Pulo Pasar Jati, Jatiuwung</t>
  </si>
  <si>
    <t>0895-1XXX-6XXX</t>
  </si>
  <si>
    <t>PT Shan Information</t>
  </si>
  <si>
    <t>PT Anugrah Hadi Electric</t>
  </si>
  <si>
    <t>PT Janji Manis Sentosa</t>
  </si>
  <si>
    <t>PT Maju Jaya Bersama</t>
  </si>
  <si>
    <t>PT Tokopaedi Indonesia</t>
  </si>
  <si>
    <t>Jl. Jend. Sudirman No. 52, Jakarta Selatan</t>
  </si>
  <si>
    <t>Jl. Jend. Sudirman No. 53, Jakarta Barat</t>
  </si>
  <si>
    <t>Jl. Jend. Sudirman No. 54, Jakarta Selatan</t>
  </si>
  <si>
    <t>Jl. Jend. Sudirman No. 55, Jakarta Barat</t>
  </si>
  <si>
    <t>Jl. Jend. Sudirman No. 56, Jakarta Selatan</t>
  </si>
  <si>
    <t>0813-XXXX-XXXX</t>
  </si>
  <si>
    <t>0814-XXXX-XXXX</t>
  </si>
  <si>
    <t>0815-XXXX-XXXX</t>
  </si>
  <si>
    <t>0816-XXXX-XXXX</t>
  </si>
  <si>
    <t>0817-XXXX-XXXX</t>
  </si>
  <si>
    <t>Tanggal</t>
  </si>
  <si>
    <t>UP</t>
  </si>
  <si>
    <t>Tgl. Diharapkan</t>
  </si>
  <si>
    <t>Gibran Raka</t>
  </si>
  <si>
    <t>Jokowi</t>
  </si>
  <si>
    <t>Prabowo</t>
  </si>
  <si>
    <t>Anis</t>
  </si>
  <si>
    <t>Ahok</t>
  </si>
  <si>
    <t>Ganjar</t>
  </si>
  <si>
    <t>Rizky Faisal Rafi</t>
  </si>
  <si>
    <t>Herman Wia Jaya</t>
  </si>
  <si>
    <t>Tanggal Diaharapkan</t>
  </si>
  <si>
    <t>2. Nomor PO wajib dicantumkan pada Surat Jalan dan Invoice / Faktur.</t>
  </si>
  <si>
    <t>Dibuat Oleh,</t>
  </si>
  <si>
    <t>Disetujui Oleh,</t>
  </si>
  <si>
    <t>Konfirrmasi &amp; CAP,</t>
  </si>
  <si>
    <t>Telp: (021) 555-1234 | Email: info@besmartindogem.com</t>
  </si>
  <si>
    <t>Surat Jalan</t>
  </si>
  <si>
    <t>No. Surat Jalan</t>
  </si>
  <si>
    <t>SJ/08/2026/001</t>
  </si>
  <si>
    <t>Kepada Yth,</t>
  </si>
  <si>
    <t>No. PO/Ref</t>
  </si>
  <si>
    <t>Nama Supir</t>
  </si>
  <si>
    <t>No. Polisi</t>
  </si>
  <si>
    <t>Harap diterima dengan baik barang-barang di bawah ini:</t>
  </si>
  <si>
    <t>Kode
Barang</t>
  </si>
  <si>
    <t>NAMA /
DESKRIPSI BARANG</t>
  </si>
  <si>
    <t>Keterangan</t>
  </si>
  <si>
    <t>Packing Kayu</t>
  </si>
  <si>
    <t>Catatan:</t>
  </si>
  <si>
    <t>Barang yang sudah dibeli tidak dapat ditukar atau dikembalikan kecuali ada perjanjian sebelumnya.</t>
  </si>
  <si>
    <t>Surat jalan ini merupakan bukti serah terima barang yang sah.</t>
  </si>
  <si>
    <t>Diterima Oleh,</t>
  </si>
  <si>
    <t>Dibawa Oleh,</t>
  </si>
  <si>
    <t>( Admin Gudang )</t>
  </si>
  <si>
    <t>Nama Penerima</t>
  </si>
  <si>
    <t>Supir / Kurir</t>
  </si>
  <si>
    <t>Pengirim</t>
  </si>
  <si>
    <t>FAKTUR INVOICE</t>
  </si>
  <si>
    <t>PT. BESMART INDONESIA GEMILANG</t>
  </si>
  <si>
    <t>Kepada Yth.</t>
  </si>
  <si>
    <t>PT. TEKNO BERSAMA</t>
  </si>
  <si>
    <t xml:space="preserve">Nomor Faktur : </t>
  </si>
  <si>
    <t>Nama Barang</t>
  </si>
  <si>
    <t>Jumlah</t>
  </si>
  <si>
    <t>Harga Satuan</t>
  </si>
  <si>
    <t>Diskon</t>
  </si>
  <si>
    <t>Total Diskon</t>
  </si>
  <si>
    <t>Yang Dibayar</t>
  </si>
  <si>
    <t>No Surat Jalan</t>
  </si>
  <si>
    <t>Nama Perusahaan</t>
  </si>
  <si>
    <t>Untuk Perhatian</t>
  </si>
  <si>
    <t>Alamat Perusahaan</t>
  </si>
  <si>
    <t>Jl. Jend. Sudirman No. 45, Jakarta Barat</t>
  </si>
  <si>
    <t>SJ/08/2026/002</t>
  </si>
  <si>
    <t>B 7979 AB</t>
  </si>
  <si>
    <t>PT. Tekno Bersama</t>
  </si>
  <si>
    <t>Jaka Sembung</t>
  </si>
  <si>
    <t>Data Surat Jalan</t>
  </si>
  <si>
    <t>B 0678 AB</t>
  </si>
  <si>
    <t>Dodi Mulyanto</t>
  </si>
  <si>
    <t>Piece</t>
  </si>
  <si>
    <t>Fajar Andana</t>
  </si>
  <si>
    <t>Pajak 11%</t>
  </si>
  <si>
    <t>Telp: 0812-XXXX-XXXX | Email: info@besmartindo.com</t>
  </si>
  <si>
    <t>BERITA ACARA SERAH TERIMA BARANG</t>
  </si>
  <si>
    <t>Nomor: BAST/BG/08/2026/088</t>
  </si>
  <si>
    <t>PIHAK PERTAMA (Yang Menyerahkan)</t>
  </si>
  <si>
    <t>1.</t>
  </si>
  <si>
    <t>Nama</t>
  </si>
  <si>
    <t>Jabatan</t>
  </si>
  <si>
    <t>Perusahaan</t>
  </si>
  <si>
    <t>Alamat</t>
  </si>
  <si>
    <t>2.</t>
  </si>
  <si>
    <t>PIHAK KEDUA (Yang Menerima)</t>
  </si>
  <si>
    <t>Kedua belah pihak dengan ini menerangkan dan menyatakan hal-hal sebagai berikut:</t>
  </si>
  <si>
    <t>PIHAK PERTAMA telah menyerahkan barang kepada PIHAK KEDUA, dan PIHAK KEDUA</t>
  </si>
  <si>
    <t>telah menerima penyerahan barang dari PIHAK PERTAMA, berdasarkan dokumen</t>
  </si>
  <si>
    <t>pemesanan:</t>
  </si>
  <si>
    <t>Adapun rincian barang yang diserahterimakan adalah sebagai berikut:</t>
  </si>
  <si>
    <t>30 Unit</t>
  </si>
  <si>
    <t>12 Unit</t>
  </si>
  <si>
    <t>13 Unit</t>
  </si>
  <si>
    <t>6 Unit</t>
  </si>
  <si>
    <t>9 Unit</t>
  </si>
  <si>
    <t>5 Unit</t>
  </si>
  <si>
    <t>3.</t>
  </si>
  <si>
    <t>PIHAK KEDUA menyatakan bahwa seluruh barang yang diserahkan oleh PIHAK PERTAMA</t>
  </si>
  <si>
    <t>serta sesuai dengan spesifikasi yang disepakati pada Purchase Order.</t>
  </si>
  <si>
    <t>4.</t>
  </si>
  <si>
    <t>Dengan ditandatanganinya Berita Acara Serah Terima Barang ini, maka tanggung jawab atas</t>
  </si>
  <si>
    <t>keamanan dan pemeliharaan barang berpindah dari PIHAK PERTAMA kepada PIHAK KEDUA,</t>
  </si>
  <si>
    <t>dan PIHAK PERTAMA berhak untuk memproses penagihan (Invoice).</t>
  </si>
  <si>
    <t>Demikian Berita Acara Serah Terima Barang ini dibuat dalam rangkap 2 (dua) yang memiliki</t>
  </si>
  <si>
    <t>kekuatan hukum yang sama, untuk dapat dipergunakan sebagaimana mestinya.</t>
  </si>
  <si>
    <t>( Gibran Raka )</t>
  </si>
  <si>
    <t>Yang Menerima,</t>
  </si>
  <si>
    <t>PIHAK KEDUA,</t>
  </si>
  <si>
    <t>PIHAK PERTAMA,</t>
  </si>
  <si>
    <t>Yang Menyerahkan,</t>
  </si>
  <si>
    <t>( Rizky Faisal Rafi )</t>
  </si>
  <si>
    <t>Sales Manajer</t>
  </si>
  <si>
    <t>Kepala Bagian Penerimaan</t>
  </si>
  <si>
    <r>
      <t xml:space="preserve">A. Nomor Purchase Order (PO): </t>
    </r>
    <r>
      <rPr>
        <b/>
        <sz val="11"/>
        <color theme="1"/>
        <rFont val="Aptos Narrow"/>
        <family val="2"/>
        <scheme val="minor"/>
      </rPr>
      <t>PO/TB/08/2026/045</t>
    </r>
  </si>
  <si>
    <r>
      <t xml:space="preserve">B. Nomor Surat Jalan: </t>
    </r>
    <r>
      <rPr>
        <b/>
        <sz val="11"/>
        <color theme="1"/>
        <rFont val="Aptos Narrow"/>
        <family val="2"/>
        <scheme val="minor"/>
      </rPr>
      <t>SJ/BG/08/2026/102</t>
    </r>
  </si>
  <si>
    <r>
      <t xml:space="preserve">telah diperiksa dan diterima dalam keadaan </t>
    </r>
    <r>
      <rPr>
        <b/>
        <sz val="11"/>
        <color theme="1"/>
        <rFont val="Aptos Narrow"/>
        <family val="2"/>
        <scheme val="minor"/>
      </rPr>
      <t>lengkap, baru, dapat berfungsi dengan baik,</t>
    </r>
  </si>
  <si>
    <t>Pada hari ini, Senin, tanggal Tiga Puluh Satu, bulan Agustus, tahun Dua Ribu Dua Puluh Enam
(31-08-2026), bertempat di Gudang PT. Tekno Bersama (Kota Tangerang), kami yang bertanda
tangan di bawah ini:</t>
  </si>
  <si>
    <t>RETURN NOTE</t>
  </si>
  <si>
    <t xml:space="preserve">Telp: (021) 777-8889 | Email: warehouse@teknobersama.com </t>
  </si>
  <si>
    <t>DIKEMBALIKAN KEPADA (VENDOR)</t>
  </si>
  <si>
    <t>REFERENSI DOKUMEN</t>
  </si>
  <si>
    <t>SATUAN</t>
  </si>
  <si>
    <t>ALASAN RETUR</t>
  </si>
  <si>
    <t>TINDAK LANJUT YANG DIHARAPKAN:</t>
  </si>
  <si>
    <r>
      <t xml:space="preserve">Mohon segera diproses untuk </t>
    </r>
    <r>
      <rPr>
        <b/>
        <sz val="11"/>
        <color theme="1"/>
        <rFont val="Aptos Narrow"/>
        <family val="2"/>
        <scheme val="minor"/>
      </rPr>
      <t xml:space="preserve">Penggantian Barang Baru (Replacement) </t>
    </r>
    <r>
      <rPr>
        <sz val="11"/>
        <color theme="1"/>
        <rFont val="Aptos Narrow"/>
        <family val="2"/>
        <charset val="1"/>
        <scheme val="minor"/>
      </rPr>
      <t>dan dikirimkan kembali ke</t>
    </r>
  </si>
  <si>
    <r>
      <t>gudang kami selambat-lambatnya tanggal</t>
    </r>
    <r>
      <rPr>
        <b/>
        <sz val="11"/>
        <color theme="1"/>
        <rFont val="Aptos Narrow"/>
        <family val="2"/>
        <scheme val="minor"/>
      </rPr>
      <t xml:space="preserve"> 3 September 2026</t>
    </r>
  </si>
  <si>
    <t>Diserahkan Oleh,</t>
  </si>
  <si>
    <t>Diserahkan (Kepala Gudang)</t>
  </si>
  <si>
    <t>Diterima (Gudang Vendor)</t>
  </si>
  <si>
    <t>RET/TB/08/2026/001</t>
  </si>
  <si>
    <t>No. Surat Jalan Asli</t>
  </si>
  <si>
    <t>Tanggal Pengiriman</t>
  </si>
  <si>
    <t>No. PO Referensi</t>
  </si>
  <si>
    <t>SJ/BG/08/2026/102</t>
  </si>
  <si>
    <t>Bagian Retur / Gudang Penerimaan</t>
  </si>
  <si>
    <t>Barang - barang berikut dikembalikan karena tidak memenuhi standar kualitas / mengalami kerusakan:</t>
  </si>
  <si>
    <t>NO. RETURN</t>
  </si>
  <si>
    <t>Layar pecah saat dibongkar</t>
  </si>
  <si>
    <t>(...................................................)</t>
  </si>
  <si>
    <t>Kota Tangerang, 30 Agustus 2026</t>
  </si>
  <si>
    <t>TELAH TERIMA
DARI</t>
  </si>
  <si>
    <t>UANG
SEJUMLAH</t>
  </si>
  <si>
    <t>UNTUK
PEMBAYARAN</t>
  </si>
  <si>
    <t>Rp.</t>
  </si>
  <si>
    <t xml:space="preserve">Pelunasan Tagihan Invoice No. 001/08/2026 atas pengadaan
perangkat IT (berdasarkan PO/TB/08/2026/045). </t>
  </si>
  <si>
    <t>001/08/2026</t>
  </si>
  <si>
    <t>Kota Tangerang, 10 September 2026</t>
  </si>
  <si>
    <t>Finance / Penerima</t>
  </si>
  <si>
    <t># LIMA PULUH EMPAT JUTA DELAPAN RATUS ENAM PULUH ENAM RATUS EMPAT PULUH RIBU RUPIAH #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</si>
</sst>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2" formatCode="_-&quot;Rp&quot;* #,##0_-;\-&quot;Rp&quot;* #,##0_-;_-&quot;Rp&quot;* &quot;-&quot;_-;_-@_-"/>
    <numFmt numFmtId="164" formatCode="[$-421]dd\ mmmm\ yyyy;@"/>
    <numFmt numFmtId="165" formatCode="_-&quot;Rp&quot;* #,##0_-;\-&quot;Rp&quot;* #,##0_-;_-&quot;Rp&quot;* &quot;-&quot;??_-;_-@_-"/>
    <numFmt numFmtId="166" formatCode="dd\-mmmm\-yyyy"/>
    <numFmt numFmtId="167" formatCode="@\ * \:"/>
    <numFmt numFmtId="168" formatCode="[$-F800]dddd\,\ mmmm\ dd\,\ yyyy"/>
    <numFmt numFmtId="169" formatCode="0.00000"/>
    <numFmt numFmtId="176" formatCode="dd\ mmmm\ yyyy"/>
  </numFmts>
  <fonts count="45" x14ac:knownFonts="1">
    <font>
      <sz val="11"/>
      <color theme="1"/>
      <name val="Aptos Narrow"/>
      <family val="2"/>
      <charset val="1"/>
      <scheme val="minor"/>
    </font>
    <font>
      <b/>
      <sz val="20"/>
      <color rgb="FFD35400"/>
      <name val="Aptos Narrow"/>
      <family val="2"/>
      <scheme val="minor"/>
    </font>
    <font>
      <u/>
      <sz val="11"/>
      <color theme="10"/>
      <name val="Aptos Narrow"/>
      <family val="2"/>
      <charset val="1"/>
      <scheme val="minor"/>
    </font>
    <font>
      <sz val="9"/>
      <color theme="1"/>
      <name val="Aptos Narrow"/>
      <family val="2"/>
      <charset val="1"/>
      <scheme val="minor"/>
    </font>
    <font>
      <b/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22"/>
      <color rgb="FF38485A"/>
      <name val="Aptos Narrow"/>
      <family val="2"/>
      <charset val="1"/>
      <scheme val="minor"/>
    </font>
    <font>
      <b/>
      <sz val="11"/>
      <color rgb="FF38485A"/>
      <name val="Aptos Narrow"/>
      <family val="2"/>
      <scheme val="minor"/>
    </font>
    <font>
      <b/>
      <sz val="12"/>
      <color rgb="FF38485A"/>
      <name val="Aptos Narrow"/>
      <family val="2"/>
      <scheme val="minor"/>
    </font>
    <font>
      <sz val="8"/>
      <name val="Aptos Narrow"/>
      <family val="2"/>
      <charset val="1"/>
      <scheme val="minor"/>
    </font>
    <font>
      <b/>
      <sz val="22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1"/>
      <color theme="1"/>
      <name val="Tahoma"/>
      <family val="2"/>
    </font>
    <font>
      <b/>
      <sz val="20"/>
      <color theme="1"/>
      <name val="Tahoma"/>
      <family val="2"/>
    </font>
    <font>
      <b/>
      <sz val="11"/>
      <color theme="1"/>
      <name val="Tahoma"/>
      <family val="2"/>
    </font>
    <font>
      <b/>
      <sz val="11"/>
      <color theme="0"/>
      <name val="Tahoma"/>
      <family val="2"/>
    </font>
    <font>
      <sz val="11"/>
      <color theme="1"/>
      <name val="Aptos Narrow"/>
      <family val="2"/>
      <charset val="1"/>
      <scheme val="minor"/>
    </font>
    <font>
      <sz val="11"/>
      <color theme="0"/>
      <name val="Aptos Narrow"/>
      <family val="2"/>
      <charset val="1"/>
      <scheme val="minor"/>
    </font>
    <font>
      <sz val="11"/>
      <name val="Aptos Narrow"/>
      <family val="2"/>
      <charset val="1"/>
      <scheme val="minor"/>
    </font>
    <font>
      <b/>
      <sz val="20"/>
      <color theme="1"/>
      <name val="Aptos Narrow"/>
      <family val="2"/>
      <scheme val="minor"/>
    </font>
    <font>
      <b/>
      <u/>
      <sz val="11"/>
      <color theme="1"/>
      <name val="Aptos Narrow"/>
      <family val="2"/>
      <scheme val="minor"/>
    </font>
    <font>
      <b/>
      <sz val="11"/>
      <color theme="5" tint="-0.249977111117893"/>
      <name val="Aptos Narrow"/>
      <family val="2"/>
      <scheme val="minor"/>
    </font>
    <font>
      <b/>
      <sz val="11"/>
      <color theme="2" tint="-0.749992370372631"/>
      <name val="Aptos Narrow"/>
      <family val="2"/>
      <scheme val="minor"/>
    </font>
    <font>
      <sz val="14"/>
      <color theme="1"/>
      <name val="Aptos Narrow"/>
      <family val="2"/>
      <charset val="1"/>
      <scheme val="minor"/>
    </font>
    <font>
      <b/>
      <sz val="12"/>
      <color theme="2" tint="-0.499984740745262"/>
      <name val="Aptos Narrow"/>
      <family val="2"/>
      <scheme val="minor"/>
    </font>
    <font>
      <sz val="11"/>
      <color theme="2" tint="-0.499984740745262"/>
      <name val="Aptos Narrow"/>
      <family val="2"/>
      <scheme val="minor"/>
    </font>
    <font>
      <b/>
      <sz val="16"/>
      <color theme="2" tint="-0.499984740745262"/>
      <name val="Aptos Narrow"/>
      <family val="2"/>
      <scheme val="minor"/>
    </font>
    <font>
      <sz val="11"/>
      <color theme="2" tint="-0.499984740745262"/>
      <name val="Aptos Narrow"/>
      <family val="2"/>
      <charset val="1"/>
      <scheme val="minor"/>
    </font>
    <font>
      <sz val="14"/>
      <color theme="2" tint="-0.499984740745262"/>
      <name val="Aptos Narrow"/>
      <family val="2"/>
      <charset val="1"/>
      <scheme val="minor"/>
    </font>
    <font>
      <b/>
      <sz val="20"/>
      <name val="Aptos Narrow"/>
      <family val="2"/>
      <scheme val="minor"/>
    </font>
    <font>
      <sz val="11"/>
      <name val="Aptos Narrow"/>
      <family val="2"/>
      <scheme val="minor"/>
    </font>
    <font>
      <b/>
      <sz val="12"/>
      <name val="Aptos Narrow"/>
      <family val="2"/>
      <scheme val="minor"/>
    </font>
    <font>
      <b/>
      <sz val="14"/>
      <name val="Aptos Narrow"/>
      <family val="2"/>
      <scheme val="minor"/>
    </font>
    <font>
      <b/>
      <sz val="11"/>
      <color indexed="8"/>
      <name val="Aptos Narrow"/>
      <family val="2"/>
      <scheme val="minor"/>
    </font>
    <font>
      <sz val="12"/>
      <color theme="2" tint="-0.499984740745262"/>
      <name val="Aptos Narrow"/>
      <family val="2"/>
      <scheme val="minor"/>
    </font>
    <font>
      <sz val="12"/>
      <color theme="1"/>
      <name val="Tahoma"/>
      <family val="2"/>
    </font>
    <font>
      <b/>
      <sz val="12"/>
      <color theme="2" tint="-0.249977111117893"/>
      <name val="Aptos Narrow"/>
      <family val="2"/>
      <scheme val="minor"/>
    </font>
    <font>
      <b/>
      <u/>
      <sz val="14"/>
      <color theme="1"/>
      <name val="Aptos Narrow"/>
      <family val="2"/>
      <scheme val="minor"/>
    </font>
    <font>
      <b/>
      <sz val="14"/>
      <color theme="2" tint="-0.499984740745262"/>
      <name val="Aptos Narrow"/>
      <family val="2"/>
      <scheme val="minor"/>
    </font>
    <font>
      <sz val="14"/>
      <color theme="2" tint="-0.499984740745262"/>
      <name val="Aptos Narrow"/>
      <family val="2"/>
      <scheme val="minor"/>
    </font>
    <font>
      <sz val="14"/>
      <color theme="1"/>
      <name val="Tahoma"/>
      <family val="2"/>
    </font>
    <font>
      <b/>
      <sz val="12"/>
      <color theme="1"/>
      <name val="Tahoma"/>
      <family val="2"/>
    </font>
    <font>
      <b/>
      <sz val="20"/>
      <color theme="0"/>
      <name val="Aptos Narrow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F9F9F9"/>
        <bgColor indexed="64"/>
      </patternFill>
    </fill>
    <fill>
      <patternFill patternType="solid">
        <fgColor rgb="FFD35400"/>
        <bgColor indexed="64"/>
      </patternFill>
    </fill>
    <fill>
      <patternFill patternType="solid">
        <fgColor rgb="FFFDF2E9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DEE9D9"/>
        <bgColor indexed="64"/>
      </patternFill>
    </fill>
  </fills>
  <borders count="37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thick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Dashed">
        <color indexed="64"/>
      </left>
      <right/>
      <top style="mediumDashed">
        <color indexed="64"/>
      </top>
      <bottom/>
      <diagonal/>
    </border>
    <border>
      <left/>
      <right/>
      <top style="mediumDashed">
        <color indexed="64"/>
      </top>
      <bottom/>
      <diagonal/>
    </border>
    <border>
      <left/>
      <right style="mediumDashed">
        <color indexed="64"/>
      </right>
      <top style="mediumDashed">
        <color indexed="64"/>
      </top>
      <bottom/>
      <diagonal/>
    </border>
    <border>
      <left style="mediumDashed">
        <color indexed="64"/>
      </left>
      <right/>
      <top/>
      <bottom/>
      <diagonal/>
    </border>
    <border>
      <left/>
      <right style="mediumDashed">
        <color indexed="64"/>
      </right>
      <top/>
      <bottom/>
      <diagonal/>
    </border>
    <border>
      <left style="mediumDashed">
        <color indexed="64"/>
      </left>
      <right/>
      <top/>
      <bottom style="mediumDashed">
        <color indexed="64"/>
      </bottom>
      <diagonal/>
    </border>
    <border>
      <left/>
      <right/>
      <top/>
      <bottom style="mediumDashed">
        <color indexed="64"/>
      </bottom>
      <diagonal/>
    </border>
    <border>
      <left/>
      <right style="mediumDashed">
        <color indexed="64"/>
      </right>
      <top/>
      <bottom style="mediumDashed">
        <color indexed="64"/>
      </bottom>
      <diagonal/>
    </border>
    <border>
      <left style="mediumDashDot">
        <color indexed="64"/>
      </left>
      <right/>
      <top style="mediumDashDot">
        <color indexed="64"/>
      </top>
      <bottom/>
      <diagonal/>
    </border>
    <border>
      <left/>
      <right/>
      <top style="mediumDashDot">
        <color indexed="64"/>
      </top>
      <bottom/>
      <diagonal/>
    </border>
    <border>
      <left/>
      <right style="mediumDashDot">
        <color indexed="64"/>
      </right>
      <top style="mediumDashDot">
        <color indexed="64"/>
      </top>
      <bottom/>
      <diagonal/>
    </border>
    <border>
      <left style="mediumDashDot">
        <color indexed="64"/>
      </left>
      <right/>
      <top/>
      <bottom/>
      <diagonal/>
    </border>
    <border>
      <left/>
      <right style="mediumDashDot">
        <color indexed="64"/>
      </right>
      <top/>
      <bottom/>
      <diagonal/>
    </border>
    <border>
      <left style="mediumDashDot">
        <color indexed="64"/>
      </left>
      <right/>
      <top/>
      <bottom style="mediumDashDot">
        <color indexed="64"/>
      </bottom>
      <diagonal/>
    </border>
    <border>
      <left/>
      <right/>
      <top/>
      <bottom style="mediumDashDot">
        <color indexed="64"/>
      </bottom>
      <diagonal/>
    </border>
    <border>
      <left/>
      <right style="mediumDashDot">
        <color indexed="64"/>
      </right>
      <top/>
      <bottom style="mediumDashDot">
        <color indexed="64"/>
      </bottom>
      <diagonal/>
    </border>
    <border>
      <left style="thin">
        <color theme="2" tint="-0.499984740745262"/>
      </left>
      <right style="thin">
        <color theme="2" tint="-0.499984740745262"/>
      </right>
      <top style="thin">
        <color theme="2" tint="-0.499984740745262"/>
      </top>
      <bottom style="thin">
        <color theme="2" tint="-0.499984740745262"/>
      </bottom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9" fontId="18" fillId="0" borderId="0" applyFont="0" applyFill="0" applyBorder="0" applyAlignment="0" applyProtection="0"/>
  </cellStyleXfs>
  <cellXfs count="208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vertical="top" wrapText="1"/>
    </xf>
    <xf numFmtId="0" fontId="3" fillId="0" borderId="0" xfId="0" applyFont="1" applyAlignment="1">
      <alignment vertical="center"/>
    </xf>
    <xf numFmtId="0" fontId="0" fillId="3" borderId="0" xfId="0" applyFill="1" applyAlignment="1">
      <alignment horizontal="left" indent="1"/>
    </xf>
    <xf numFmtId="0" fontId="0" fillId="3" borderId="0" xfId="0" applyFill="1"/>
    <xf numFmtId="0" fontId="5" fillId="4" borderId="0" xfId="0" applyFont="1" applyFill="1" applyAlignment="1">
      <alignment horizontal="center" vertical="center"/>
    </xf>
    <xf numFmtId="0" fontId="4" fillId="3" borderId="0" xfId="0" applyFont="1" applyFill="1" applyAlignment="1">
      <alignment horizontal="left" indent="1"/>
    </xf>
    <xf numFmtId="0" fontId="4" fillId="0" borderId="0" xfId="0" applyFont="1"/>
    <xf numFmtId="0" fontId="7" fillId="0" borderId="0" xfId="0" applyFont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0" fillId="2" borderId="3" xfId="0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3" xfId="0" applyBorder="1" applyAlignment="1">
      <alignment horizontal="center"/>
    </xf>
    <xf numFmtId="165" fontId="0" fillId="0" borderId="0" xfId="0" applyNumberFormat="1"/>
    <xf numFmtId="165" fontId="0" fillId="0" borderId="3" xfId="0" applyNumberFormat="1" applyBorder="1" applyAlignment="1">
      <alignment vertical="center"/>
    </xf>
    <xf numFmtId="0" fontId="4" fillId="2" borderId="3" xfId="0" applyFont="1" applyFill="1" applyBorder="1" applyAlignment="1">
      <alignment horizontal="center" vertical="center"/>
    </xf>
    <xf numFmtId="14" fontId="0" fillId="0" borderId="0" xfId="0" applyNumberFormat="1"/>
    <xf numFmtId="167" fontId="4" fillId="3" borderId="0" xfId="0" applyNumberFormat="1" applyFont="1" applyFill="1" applyAlignment="1">
      <alignment horizontal="left" indent="1"/>
    </xf>
    <xf numFmtId="0" fontId="4" fillId="0" borderId="0" xfId="0" applyFont="1" applyAlignment="1">
      <alignment vertical="center"/>
    </xf>
    <xf numFmtId="0" fontId="4" fillId="0" borderId="0" xfId="0" applyFont="1" applyAlignment="1">
      <alignment horizontal="left" vertical="center"/>
    </xf>
    <xf numFmtId="0" fontId="0" fillId="0" borderId="9" xfId="0" applyBorder="1"/>
    <xf numFmtId="167" fontId="0" fillId="0" borderId="0" xfId="0" applyNumberFormat="1"/>
    <xf numFmtId="167" fontId="4" fillId="0" borderId="0" xfId="0" applyNumberFormat="1" applyFont="1"/>
    <xf numFmtId="0" fontId="4" fillId="2" borderId="10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center" vertical="center" wrapText="1"/>
    </xf>
    <xf numFmtId="0" fontId="0" fillId="0" borderId="10" xfId="0" applyBorder="1" applyAlignment="1">
      <alignment horizontal="center" vertical="center"/>
    </xf>
    <xf numFmtId="0" fontId="0" fillId="0" borderId="10" xfId="0" applyBorder="1" applyAlignment="1">
      <alignment horizontal="left" vertical="center"/>
    </xf>
    <xf numFmtId="0" fontId="0" fillId="0" borderId="10" xfId="0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14" fillId="0" borderId="11" xfId="0" applyFont="1" applyBorder="1"/>
    <xf numFmtId="0" fontId="14" fillId="0" borderId="2" xfId="0" applyFont="1" applyBorder="1"/>
    <xf numFmtId="0" fontId="14" fillId="0" borderId="12" xfId="0" applyFont="1" applyBorder="1"/>
    <xf numFmtId="0" fontId="14" fillId="0" borderId="13" xfId="0" applyFont="1" applyBorder="1"/>
    <xf numFmtId="0" fontId="14" fillId="0" borderId="14" xfId="0" applyFont="1" applyBorder="1"/>
    <xf numFmtId="0" fontId="14" fillId="0" borderId="15" xfId="0" applyFont="1" applyBorder="1"/>
    <xf numFmtId="0" fontId="14" fillId="0" borderId="16" xfId="0" applyFont="1" applyBorder="1"/>
    <xf numFmtId="0" fontId="14" fillId="0" borderId="17" xfId="0" applyFont="1" applyFill="1" applyBorder="1" applyAlignment="1">
      <alignment horizontal="center" vertical="center"/>
    </xf>
    <xf numFmtId="0" fontId="14" fillId="0" borderId="10" xfId="0" applyFont="1" applyFill="1" applyBorder="1" applyAlignment="1">
      <alignment horizontal="center" vertical="center"/>
    </xf>
    <xf numFmtId="165" fontId="14" fillId="0" borderId="10" xfId="0" applyNumberFormat="1" applyFont="1" applyFill="1" applyBorder="1" applyAlignment="1">
      <alignment horizontal="center" vertical="center"/>
    </xf>
    <xf numFmtId="165" fontId="14" fillId="0" borderId="18" xfId="0" applyNumberFormat="1" applyFont="1" applyFill="1" applyBorder="1" applyAlignment="1">
      <alignment horizontal="center" vertical="center"/>
    </xf>
    <xf numFmtId="0" fontId="17" fillId="0" borderId="16" xfId="0" applyFont="1" applyFill="1" applyBorder="1" applyAlignment="1">
      <alignment horizontal="center" vertical="center"/>
    </xf>
    <xf numFmtId="0" fontId="17" fillId="0" borderId="19" xfId="0" applyFont="1" applyFill="1" applyBorder="1" applyAlignment="1">
      <alignment horizontal="center" vertical="center"/>
    </xf>
    <xf numFmtId="0" fontId="17" fillId="0" borderId="15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/>
    <xf numFmtId="15" fontId="0" fillId="0" borderId="0" xfId="0" applyNumberFormat="1" applyAlignment="1">
      <alignment horizontal="left" vertical="center"/>
    </xf>
    <xf numFmtId="169" fontId="0" fillId="0" borderId="0" xfId="0" applyNumberFormat="1" applyAlignment="1">
      <alignment horizontal="left" vertical="center"/>
    </xf>
    <xf numFmtId="0" fontId="19" fillId="0" borderId="0" xfId="0" applyFont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0" fillId="0" borderId="0" xfId="0" applyNumberFormat="1" applyAlignment="1">
      <alignment horizontal="left" vertical="center"/>
    </xf>
    <xf numFmtId="0" fontId="4" fillId="0" borderId="0" xfId="0" applyFont="1" applyAlignment="1">
      <alignment horizontal="left" indent="1"/>
    </xf>
    <xf numFmtId="0" fontId="0" fillId="0" borderId="0" xfId="0" applyAlignment="1">
      <alignment horizontal="left" indent="1"/>
    </xf>
    <xf numFmtId="0" fontId="0" fillId="0" borderId="0" xfId="0" applyAlignment="1">
      <alignment horizontal="left" vertical="center" indent="1"/>
    </xf>
    <xf numFmtId="168" fontId="0" fillId="0" borderId="0" xfId="0" applyNumberFormat="1" applyAlignment="1">
      <alignment horizontal="left" vertical="center" indent="1"/>
    </xf>
    <xf numFmtId="0" fontId="14" fillId="0" borderId="0" xfId="0" applyFont="1" applyBorder="1"/>
    <xf numFmtId="0" fontId="0" fillId="0" borderId="0" xfId="0" applyBorder="1"/>
    <xf numFmtId="0" fontId="14" fillId="0" borderId="10" xfId="0" applyFont="1" applyFill="1" applyBorder="1" applyAlignment="1">
      <alignment horizontal="left" vertical="center"/>
    </xf>
    <xf numFmtId="165" fontId="14" fillId="0" borderId="10" xfId="2" applyNumberFormat="1" applyFont="1" applyFill="1" applyBorder="1" applyAlignment="1">
      <alignment horizontal="center" vertical="center"/>
    </xf>
    <xf numFmtId="165" fontId="16" fillId="2" borderId="10" xfId="0" applyNumberFormat="1" applyFont="1" applyFill="1" applyBorder="1" applyAlignment="1">
      <alignment vertical="center"/>
    </xf>
    <xf numFmtId="0" fontId="0" fillId="0" borderId="0" xfId="0" applyAlignment="1">
      <alignment vertical="center"/>
    </xf>
    <xf numFmtId="0" fontId="0" fillId="0" borderId="0" xfId="0" quotePrefix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4" fillId="0" borderId="0" xfId="0" applyFont="1" applyFill="1" applyBorder="1" applyAlignment="1">
      <alignment horizontal="center" vertical="center"/>
    </xf>
    <xf numFmtId="0" fontId="22" fillId="0" borderId="0" xfId="0" applyFont="1" applyAlignment="1">
      <alignment vertical="center"/>
    </xf>
    <xf numFmtId="0" fontId="0" fillId="0" borderId="0" xfId="0" applyAlignment="1">
      <alignment vertical="center" wrapText="1"/>
    </xf>
    <xf numFmtId="1" fontId="4" fillId="0" borderId="0" xfId="0" quotePrefix="1" applyNumberFormat="1" applyFont="1" applyAlignment="1">
      <alignment horizontal="center" vertical="center"/>
    </xf>
    <xf numFmtId="0" fontId="4" fillId="0" borderId="0" xfId="0" applyFont="1" applyAlignment="1">
      <alignment horizontal="left" vertical="center" indent="1"/>
    </xf>
    <xf numFmtId="0" fontId="0" fillId="8" borderId="20" xfId="0" applyFill="1" applyBorder="1"/>
    <xf numFmtId="0" fontId="0" fillId="8" borderId="21" xfId="0" applyFill="1" applyBorder="1"/>
    <xf numFmtId="0" fontId="0" fillId="8" borderId="22" xfId="0" applyFill="1" applyBorder="1"/>
    <xf numFmtId="0" fontId="0" fillId="8" borderId="25" xfId="0" applyFill="1" applyBorder="1"/>
    <xf numFmtId="0" fontId="0" fillId="8" borderId="26" xfId="0" applyFill="1" applyBorder="1"/>
    <xf numFmtId="0" fontId="0" fillId="8" borderId="27" xfId="0" applyFill="1" applyBorder="1"/>
    <xf numFmtId="0" fontId="0" fillId="8" borderId="23" xfId="0" applyFill="1" applyBorder="1" applyAlignment="1">
      <alignment horizontal="left" indent="2"/>
    </xf>
    <xf numFmtId="0" fontId="0" fillId="8" borderId="0" xfId="0" applyFill="1" applyBorder="1" applyAlignment="1">
      <alignment horizontal="left" indent="2"/>
    </xf>
    <xf numFmtId="0" fontId="0" fillId="8" borderId="24" xfId="0" applyFill="1" applyBorder="1" applyAlignment="1">
      <alignment horizontal="left" indent="2"/>
    </xf>
    <xf numFmtId="0" fontId="4" fillId="0" borderId="0" xfId="0" applyFont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165" fontId="0" fillId="0" borderId="3" xfId="0" applyNumberFormat="1" applyBorder="1" applyAlignment="1">
      <alignment horizontal="center" vertical="center"/>
    </xf>
    <xf numFmtId="0" fontId="0" fillId="0" borderId="5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0" fillId="0" borderId="7" xfId="0" applyBorder="1" applyAlignment="1">
      <alignment horizontal="left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42" fontId="4" fillId="0" borderId="4" xfId="0" applyNumberFormat="1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1" fillId="0" borderId="0" xfId="0" applyFont="1" applyAlignment="1">
      <alignment horizontal="left" vertical="center" wrapText="1"/>
    </xf>
    <xf numFmtId="0" fontId="6" fillId="0" borderId="0" xfId="0" applyFont="1" applyAlignment="1">
      <alignment horizontal="right" vertical="center" wrapText="1"/>
    </xf>
    <xf numFmtId="0" fontId="0" fillId="5" borderId="0" xfId="0" applyFill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42" fontId="4" fillId="0" borderId="3" xfId="0" applyNumberFormat="1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3" borderId="0" xfId="0" applyFont="1" applyFill="1" applyAlignment="1">
      <alignment horizontal="left" vertical="center" indent="1"/>
    </xf>
    <xf numFmtId="166" fontId="0" fillId="3" borderId="0" xfId="0" applyNumberFormat="1" applyFill="1" applyAlignment="1">
      <alignment horizontal="left" vertical="center"/>
    </xf>
    <xf numFmtId="0" fontId="0" fillId="3" borderId="0" xfId="0" applyFill="1" applyAlignment="1">
      <alignment horizontal="left" vertical="center"/>
    </xf>
    <xf numFmtId="167" fontId="4" fillId="3" borderId="0" xfId="0" applyNumberFormat="1" applyFont="1" applyFill="1" applyAlignment="1">
      <alignment horizontal="left" vertical="center" indent="1"/>
    </xf>
    <xf numFmtId="0" fontId="0" fillId="0" borderId="10" xfId="0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2" borderId="10" xfId="0" applyFont="1" applyFill="1" applyBorder="1" applyAlignment="1">
      <alignment horizontal="center" vertical="center"/>
    </xf>
    <xf numFmtId="0" fontId="12" fillId="2" borderId="0" xfId="0" applyFont="1" applyFill="1" applyAlignment="1">
      <alignment horizontal="left" vertical="center" indent="1"/>
    </xf>
    <xf numFmtId="0" fontId="13" fillId="2" borderId="0" xfId="0" applyFont="1" applyFill="1" applyAlignment="1">
      <alignment horizontal="left" vertical="center" indent="1"/>
    </xf>
    <xf numFmtId="0" fontId="0" fillId="0" borderId="0" xfId="0" applyAlignment="1">
      <alignment horizontal="center"/>
    </xf>
    <xf numFmtId="168" fontId="0" fillId="0" borderId="0" xfId="0" applyNumberFormat="1" applyAlignment="1">
      <alignment horizontal="center" vertical="center"/>
    </xf>
    <xf numFmtId="0" fontId="4" fillId="0" borderId="0" xfId="0" applyFont="1" applyAlignment="1">
      <alignment horizont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0" fillId="0" borderId="0" xfId="0" applyAlignment="1">
      <alignment horizontal="left" vertical="center"/>
    </xf>
    <xf numFmtId="167" fontId="0" fillId="0" borderId="0" xfId="0" applyNumberFormat="1" applyAlignment="1">
      <alignment horizontal="left"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  <xf numFmtId="0" fontId="0" fillId="0" borderId="0" xfId="0" applyAlignment="1">
      <alignment horizontal="left" vertical="center" wrapText="1"/>
    </xf>
    <xf numFmtId="0" fontId="0" fillId="8" borderId="23" xfId="0" applyFill="1" applyBorder="1" applyAlignment="1">
      <alignment horizontal="left" vertical="center" indent="2"/>
    </xf>
    <xf numFmtId="0" fontId="0" fillId="8" borderId="0" xfId="0" applyFill="1" applyBorder="1" applyAlignment="1">
      <alignment horizontal="left" vertical="center" indent="2"/>
    </xf>
    <xf numFmtId="0" fontId="0" fillId="8" borderId="24" xfId="0" applyFill="1" applyBorder="1" applyAlignment="1">
      <alignment horizontal="left" vertical="center" indent="2"/>
    </xf>
    <xf numFmtId="0" fontId="4" fillId="8" borderId="23" xfId="0" applyFont="1" applyFill="1" applyBorder="1" applyAlignment="1">
      <alignment horizontal="left" vertical="center" indent="2"/>
    </xf>
    <xf numFmtId="0" fontId="4" fillId="8" borderId="0" xfId="0" applyFont="1" applyFill="1" applyBorder="1" applyAlignment="1">
      <alignment horizontal="left" vertical="center" indent="2"/>
    </xf>
    <xf numFmtId="0" fontId="4" fillId="8" borderId="24" xfId="0" applyFont="1" applyFill="1" applyBorder="1" applyAlignment="1">
      <alignment horizontal="left" vertical="center" indent="2"/>
    </xf>
    <xf numFmtId="0" fontId="21" fillId="0" borderId="0" xfId="0" applyFont="1" applyAlignment="1">
      <alignment horizontal="left" vertical="center"/>
    </xf>
    <xf numFmtId="0" fontId="0" fillId="0" borderId="0" xfId="0" applyFill="1" applyAlignment="1">
      <alignment horizontal="center"/>
    </xf>
    <xf numFmtId="0" fontId="11" fillId="2" borderId="0" xfId="0" applyFont="1" applyFill="1" applyAlignment="1">
      <alignment horizontal="center" vertical="center"/>
    </xf>
    <xf numFmtId="0" fontId="15" fillId="0" borderId="0" xfId="0" applyFont="1" applyBorder="1" applyAlignment="1">
      <alignment horizontal="center"/>
    </xf>
    <xf numFmtId="0" fontId="14" fillId="0" borderId="0" xfId="0" applyFont="1" applyBorder="1" applyAlignment="1">
      <alignment horizontal="left" vertical="center" indent="1"/>
    </xf>
    <xf numFmtId="0" fontId="14" fillId="0" borderId="0" xfId="0" applyFont="1" applyBorder="1" applyAlignment="1">
      <alignment horizontal="left" vertical="center"/>
    </xf>
    <xf numFmtId="0" fontId="16" fillId="2" borderId="10" xfId="0" applyFont="1" applyFill="1" applyBorder="1" applyAlignment="1">
      <alignment horizontal="right" vertical="center" indent="2"/>
    </xf>
    <xf numFmtId="0" fontId="14" fillId="0" borderId="0" xfId="0" applyFont="1" applyBorder="1" applyAlignment="1">
      <alignment horizontal="center"/>
    </xf>
    <xf numFmtId="167" fontId="5" fillId="6" borderId="0" xfId="0" applyNumberFormat="1" applyFont="1" applyFill="1" applyBorder="1" applyAlignment="1">
      <alignment vertical="center"/>
    </xf>
    <xf numFmtId="0" fontId="4" fillId="7" borderId="0" xfId="0" applyFont="1" applyFill="1" applyBorder="1" applyAlignment="1">
      <alignment horizontal="center" vertical="center"/>
    </xf>
    <xf numFmtId="14" fontId="4" fillId="7" borderId="0" xfId="0" applyNumberFormat="1" applyFont="1" applyFill="1" applyBorder="1" applyAlignment="1">
      <alignment horizontal="center" vertical="center"/>
    </xf>
    <xf numFmtId="0" fontId="23" fillId="0" borderId="0" xfId="0" applyFont="1"/>
    <xf numFmtId="0" fontId="24" fillId="0" borderId="0" xfId="0" applyFont="1" applyAlignment="1">
      <alignment vertical="center"/>
    </xf>
    <xf numFmtId="0" fontId="24" fillId="0" borderId="0" xfId="0" applyFont="1" applyAlignment="1">
      <alignment horizontal="left" vertical="center"/>
    </xf>
    <xf numFmtId="167" fontId="0" fillId="5" borderId="0" xfId="0" applyNumberFormat="1" applyFill="1" applyBorder="1" applyAlignment="1">
      <alignment horizontal="left" vertical="center" indent="2"/>
    </xf>
    <xf numFmtId="0" fontId="4" fillId="5" borderId="0" xfId="0" applyFont="1" applyFill="1" applyBorder="1"/>
    <xf numFmtId="167" fontId="0" fillId="5" borderId="0" xfId="0" applyNumberFormat="1" applyFill="1" applyBorder="1" applyAlignment="1">
      <alignment horizontal="left" vertical="center" indent="2"/>
    </xf>
    <xf numFmtId="0" fontId="0" fillId="5" borderId="0" xfId="0" applyFill="1" applyBorder="1"/>
    <xf numFmtId="176" fontId="4" fillId="5" borderId="0" xfId="0" applyNumberFormat="1" applyFont="1" applyFill="1" applyBorder="1" applyAlignment="1">
      <alignment horizontal="left" vertical="center"/>
    </xf>
    <xf numFmtId="167" fontId="0" fillId="5" borderId="28" xfId="0" applyNumberFormat="1" applyFill="1" applyBorder="1" applyAlignment="1">
      <alignment horizontal="left" vertical="center" indent="2"/>
    </xf>
    <xf numFmtId="167" fontId="0" fillId="5" borderId="29" xfId="0" applyNumberFormat="1" applyFill="1" applyBorder="1" applyAlignment="1">
      <alignment horizontal="left" vertical="center" indent="2"/>
    </xf>
    <xf numFmtId="0" fontId="0" fillId="5" borderId="29" xfId="0" applyFill="1" applyBorder="1"/>
    <xf numFmtId="0" fontId="0" fillId="5" borderId="30" xfId="0" applyFill="1" applyBorder="1"/>
    <xf numFmtId="167" fontId="0" fillId="5" borderId="31" xfId="0" applyNumberFormat="1" applyFill="1" applyBorder="1" applyAlignment="1">
      <alignment horizontal="left" vertical="center" indent="2"/>
    </xf>
    <xf numFmtId="0" fontId="0" fillId="5" borderId="32" xfId="0" applyFill="1" applyBorder="1"/>
    <xf numFmtId="167" fontId="0" fillId="5" borderId="31" xfId="0" applyNumberFormat="1" applyFill="1" applyBorder="1" applyAlignment="1">
      <alignment horizontal="left" vertical="center" indent="2"/>
    </xf>
    <xf numFmtId="176" fontId="4" fillId="5" borderId="32" xfId="0" applyNumberFormat="1" applyFont="1" applyFill="1" applyBorder="1" applyAlignment="1">
      <alignment horizontal="left" vertical="center"/>
    </xf>
    <xf numFmtId="167" fontId="0" fillId="5" borderId="33" xfId="0" applyNumberFormat="1" applyFill="1" applyBorder="1" applyAlignment="1">
      <alignment horizontal="left" vertical="center" indent="2"/>
    </xf>
    <xf numFmtId="167" fontId="0" fillId="5" borderId="34" xfId="0" applyNumberFormat="1" applyFill="1" applyBorder="1" applyAlignment="1">
      <alignment horizontal="left" vertical="center" indent="2"/>
    </xf>
    <xf numFmtId="0" fontId="0" fillId="5" borderId="34" xfId="0" applyFill="1" applyBorder="1"/>
    <xf numFmtId="0" fontId="0" fillId="5" borderId="35" xfId="0" applyFill="1" applyBorder="1"/>
    <xf numFmtId="0" fontId="0" fillId="5" borderId="28" xfId="0" applyFill="1" applyBorder="1" applyAlignment="1">
      <alignment horizontal="left" indent="2"/>
    </xf>
    <xf numFmtId="0" fontId="4" fillId="5" borderId="31" xfId="0" applyFont="1" applyFill="1" applyBorder="1" applyAlignment="1">
      <alignment horizontal="left" indent="2"/>
    </xf>
    <xf numFmtId="0" fontId="0" fillId="5" borderId="31" xfId="0" applyFill="1" applyBorder="1" applyAlignment="1">
      <alignment horizontal="left" indent="2"/>
    </xf>
    <xf numFmtId="167" fontId="0" fillId="5" borderId="31" xfId="0" applyNumberFormat="1" applyFill="1" applyBorder="1" applyAlignment="1">
      <alignment horizontal="left" indent="2"/>
    </xf>
    <xf numFmtId="0" fontId="0" fillId="5" borderId="33" xfId="0" applyFill="1" applyBorder="1" applyAlignment="1">
      <alignment horizontal="left" indent="2"/>
    </xf>
    <xf numFmtId="0" fontId="4" fillId="3" borderId="36" xfId="0" applyFont="1" applyFill="1" applyBorder="1" applyAlignment="1">
      <alignment horizontal="center" vertical="center"/>
    </xf>
    <xf numFmtId="0" fontId="4" fillId="3" borderId="36" xfId="0" applyFont="1" applyFill="1" applyBorder="1" applyAlignment="1">
      <alignment horizontal="center" vertical="center"/>
    </xf>
    <xf numFmtId="0" fontId="23" fillId="9" borderId="36" xfId="0" applyFont="1" applyFill="1" applyBorder="1" applyAlignment="1">
      <alignment horizontal="center" vertical="center"/>
    </xf>
    <xf numFmtId="0" fontId="23" fillId="9" borderId="36" xfId="0" applyFont="1" applyFill="1" applyBorder="1" applyAlignment="1">
      <alignment horizontal="center" vertical="center"/>
    </xf>
    <xf numFmtId="0" fontId="25" fillId="0" borderId="0" xfId="0" applyFont="1"/>
    <xf numFmtId="0" fontId="12" fillId="0" borderId="0" xfId="0" applyFont="1" applyBorder="1" applyAlignment="1">
      <alignment horizontal="left" vertical="center" wrapText="1" indent="2"/>
    </xf>
    <xf numFmtId="0" fontId="0" fillId="0" borderId="0" xfId="0" applyFill="1"/>
    <xf numFmtId="0" fontId="27" fillId="0" borderId="0" xfId="0" applyFont="1" applyBorder="1" applyAlignment="1">
      <alignment horizontal="left" indent="2"/>
    </xf>
    <xf numFmtId="0" fontId="29" fillId="0" borderId="0" xfId="0" applyFont="1" applyFill="1" applyBorder="1"/>
    <xf numFmtId="0" fontId="26" fillId="0" borderId="0" xfId="0" applyFont="1" applyFill="1" applyBorder="1" applyAlignment="1">
      <alignment horizontal="left" vertical="center" wrapText="1" indent="2"/>
    </xf>
    <xf numFmtId="0" fontId="12" fillId="10" borderId="0" xfId="0" applyFont="1" applyFill="1" applyBorder="1" applyAlignment="1">
      <alignment horizontal="left" vertical="center" indent="2"/>
    </xf>
    <xf numFmtId="3" fontId="12" fillId="10" borderId="0" xfId="0" applyNumberFormat="1" applyFont="1" applyFill="1" applyBorder="1" applyAlignment="1">
      <alignment horizontal="left" vertical="center" indent="2"/>
    </xf>
    <xf numFmtId="0" fontId="12" fillId="10" borderId="0" xfId="0" applyFont="1" applyFill="1" applyBorder="1" applyAlignment="1">
      <alignment horizontal="left" vertical="center" wrapText="1" indent="2"/>
    </xf>
    <xf numFmtId="0" fontId="0" fillId="0" borderId="0" xfId="0" applyBorder="1" applyAlignment="1">
      <alignment horizontal="left" indent="2"/>
    </xf>
    <xf numFmtId="0" fontId="31" fillId="0" borderId="0" xfId="0" applyFont="1" applyFill="1" applyBorder="1" applyAlignment="1">
      <alignment horizontal="left" vertical="center" indent="2"/>
    </xf>
    <xf numFmtId="0" fontId="32" fillId="0" borderId="0" xfId="0" applyFont="1" applyFill="1" applyBorder="1"/>
    <xf numFmtId="0" fontId="31" fillId="0" borderId="0" xfId="0" applyFont="1" applyFill="1" applyBorder="1" applyAlignment="1">
      <alignment horizontal="right" vertical="center" indent="2"/>
    </xf>
    <xf numFmtId="0" fontId="33" fillId="0" borderId="0" xfId="0" applyFont="1" applyFill="1" applyBorder="1" applyAlignment="1">
      <alignment horizontal="left" vertical="center" indent="2"/>
    </xf>
    <xf numFmtId="0" fontId="34" fillId="0" borderId="0" xfId="0" applyFont="1" applyFill="1" applyBorder="1" applyAlignment="1">
      <alignment horizontal="right" vertical="center" indent="2"/>
    </xf>
    <xf numFmtId="0" fontId="13" fillId="0" borderId="0" xfId="0" applyFont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12" fillId="0" borderId="0" xfId="0" applyFont="1" applyBorder="1" applyAlignment="1">
      <alignment vertical="center" wrapText="1"/>
    </xf>
    <xf numFmtId="0" fontId="12" fillId="0" borderId="0" xfId="0" applyFont="1" applyBorder="1" applyAlignment="1">
      <alignment vertical="center"/>
    </xf>
    <xf numFmtId="0" fontId="35" fillId="0" borderId="0" xfId="0" applyFont="1"/>
    <xf numFmtId="0" fontId="35" fillId="0" borderId="0" xfId="0" applyFont="1" applyAlignment="1">
      <alignment horizontal="center"/>
    </xf>
    <xf numFmtId="0" fontId="37" fillId="0" borderId="0" xfId="0" applyFont="1" applyBorder="1" applyAlignment="1">
      <alignment horizontal="left" vertical="center" indent="1"/>
    </xf>
    <xf numFmtId="0" fontId="39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30" fillId="0" borderId="0" xfId="0" applyFont="1" applyFill="1" applyBorder="1"/>
    <xf numFmtId="0" fontId="41" fillId="0" borderId="0" xfId="0" applyFont="1" applyBorder="1" applyAlignment="1">
      <alignment horizontal="left" indent="2"/>
    </xf>
    <xf numFmtId="0" fontId="25" fillId="0" borderId="0" xfId="0" applyFont="1" applyBorder="1" applyAlignment="1">
      <alignment horizontal="left" indent="2"/>
    </xf>
    <xf numFmtId="0" fontId="42" fillId="0" borderId="13" xfId="0" applyFont="1" applyBorder="1"/>
    <xf numFmtId="0" fontId="42" fillId="0" borderId="0" xfId="0" applyFont="1" applyBorder="1" applyAlignment="1">
      <alignment horizontal="left" vertical="center"/>
    </xf>
    <xf numFmtId="0" fontId="42" fillId="0" borderId="0" xfId="0" applyFont="1" applyBorder="1"/>
    <xf numFmtId="164" fontId="25" fillId="5" borderId="0" xfId="0" applyNumberFormat="1" applyFont="1" applyFill="1" applyAlignment="1">
      <alignment horizontal="center" vertical="center"/>
    </xf>
    <xf numFmtId="0" fontId="36" fillId="0" borderId="13" xfId="0" applyFont="1" applyBorder="1"/>
    <xf numFmtId="0" fontId="36" fillId="0" borderId="0" xfId="0" applyFont="1"/>
    <xf numFmtId="0" fontId="26" fillId="3" borderId="0" xfId="0" applyFont="1" applyFill="1" applyBorder="1" applyAlignment="1">
      <alignment horizontal="left" vertical="center" wrapText="1" indent="1"/>
    </xf>
    <xf numFmtId="0" fontId="28" fillId="3" borderId="0" xfId="0" applyFont="1" applyFill="1" applyBorder="1" applyAlignment="1">
      <alignment horizontal="left" vertical="center" indent="1"/>
    </xf>
    <xf numFmtId="0" fontId="38" fillId="0" borderId="0" xfId="0" applyFont="1" applyAlignment="1">
      <alignment vertical="center"/>
    </xf>
    <xf numFmtId="0" fontId="38" fillId="0" borderId="0" xfId="1" applyFont="1" applyAlignment="1">
      <alignment vertical="center"/>
    </xf>
    <xf numFmtId="0" fontId="40" fillId="0" borderId="0" xfId="0" applyFont="1" applyAlignment="1">
      <alignment horizontal="center" vertical="center"/>
    </xf>
    <xf numFmtId="0" fontId="43" fillId="0" borderId="0" xfId="0" applyFont="1" applyBorder="1" applyAlignment="1">
      <alignment horizontal="left" vertical="center" indent="1"/>
    </xf>
    <xf numFmtId="49" fontId="16" fillId="0" borderId="0" xfId="0" quotePrefix="1" applyNumberFormat="1" applyFont="1" applyBorder="1" applyAlignment="1">
      <alignment horizontal="left" vertical="center"/>
    </xf>
    <xf numFmtId="0" fontId="16" fillId="0" borderId="0" xfId="0" applyFont="1" applyBorder="1" applyAlignment="1">
      <alignment horizontal="left" vertical="center"/>
    </xf>
    <xf numFmtId="0" fontId="44" fillId="6" borderId="0" xfId="0" applyFont="1" applyFill="1" applyAlignment="1">
      <alignment horizontal="center" vertical="center"/>
    </xf>
  </cellXfs>
  <cellStyles count="3">
    <cellStyle name="Hyperlink" xfId="1" builtinId="8"/>
    <cellStyle name="Normal" xfId="0" builtinId="0"/>
    <cellStyle name="Percent" xfId="2" builtinId="5"/>
  </cellStyles>
  <dxfs count="3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ahoma"/>
        <family val="2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ahoma"/>
        <family val="2"/>
        <scheme val="none"/>
      </font>
      <numFmt numFmtId="165" formatCode="_-&quot;Rp&quot;* #,##0_-;\-&quot;Rp&quot;* #,##0_-;_-&quot;Rp&quot;* &quot;-&quot;??_-;_-@_-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/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ahoma"/>
        <family val="2"/>
        <scheme val="none"/>
      </font>
      <numFmt numFmtId="165" formatCode="_-&quot;Rp&quot;* #,##0_-;\-&quot;Rp&quot;* #,##0_-;_-&quot;Rp&quot;* &quot;-&quot;??_-;_-@_-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ahoma"/>
        <family val="2"/>
        <scheme val="none"/>
      </font>
      <numFmt numFmtId="165" formatCode="_-&quot;Rp&quot;* #,##0_-;\-&quot;Rp&quot;* #,##0_-;_-&quot;Rp&quot;* &quot;-&quot;??_-;_-@_-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ahoma"/>
        <family val="2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ahoma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ahoma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 outline="0">
        <top style="medium">
          <color indexed="64"/>
        </top>
      </border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ill>
        <patternFill patternType="none">
          <fgColor indexed="64"/>
          <bgColor auto="1"/>
        </patternFill>
      </fill>
    </dxf>
    <dxf>
      <border outline="0"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Tahoma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/>
        <bottom/>
      </border>
    </dxf>
    <dxf>
      <alignment horizontal="left" vertical="center" textRotation="0" wrapText="0" indent="0" justifyLastLine="0" shrinkToFit="0" readingOrder="0"/>
    </dxf>
    <dxf>
      <numFmt numFmtId="0" formatCode="General"/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numFmt numFmtId="169" formatCode="0.00000"/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numFmt numFmtId="20" formatCode="dd\-mmm\-yy"/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charset val="1"/>
        <scheme val="minor"/>
      </font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65" formatCode="_-&quot;Rp&quot;* #,##0_-;\-&quot;Rp&quot;* #,##0_-;_-&quot;Rp&quot;* &quot;-&quot;??_-;_-@_-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colors>
    <mruColors>
      <color rgb="FFDEE9D9"/>
      <color rgb="FFF9F9F9"/>
      <color rgb="FFBDC3C6"/>
      <color rgb="FFFDF2E9"/>
      <color rgb="FF38485A"/>
      <color rgb="FFD354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20287</xdr:colOff>
      <xdr:row>9</xdr:row>
      <xdr:rowOff>150332</xdr:rowOff>
    </xdr:from>
    <xdr:to>
      <xdr:col>0</xdr:col>
      <xdr:colOff>20287</xdr:colOff>
      <xdr:row>16</xdr:row>
      <xdr:rowOff>5310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2DFA246E-F0B5-519F-46DC-4EF30C24FA1F}"/>
            </a:ext>
          </a:extLst>
        </xdr:cNvPr>
        <xdr:cNvCxnSpPr/>
      </xdr:nvCxnSpPr>
      <xdr:spPr>
        <a:xfrm>
          <a:off x="20287" y="2422561"/>
          <a:ext cx="0" cy="1108147"/>
        </a:xfrm>
        <a:prstGeom prst="line">
          <a:avLst/>
        </a:prstGeom>
        <a:ln w="38100">
          <a:solidFill>
            <a:srgbClr val="BDC3C6"/>
          </a:solidFill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8847</xdr:colOff>
      <xdr:row>9</xdr:row>
      <xdr:rowOff>150332</xdr:rowOff>
    </xdr:from>
    <xdr:to>
      <xdr:col>5</xdr:col>
      <xdr:colOff>8847</xdr:colOff>
      <xdr:row>16</xdr:row>
      <xdr:rowOff>5310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F82C5536-E416-5416-F93A-B06EA7D707B1}"/>
            </a:ext>
          </a:extLst>
        </xdr:cNvPr>
        <xdr:cNvCxnSpPr/>
      </xdr:nvCxnSpPr>
      <xdr:spPr>
        <a:xfrm>
          <a:off x="3018747" y="2207732"/>
          <a:ext cx="0" cy="1104658"/>
        </a:xfrm>
        <a:prstGeom prst="line">
          <a:avLst/>
        </a:prstGeom>
        <a:ln w="38100">
          <a:solidFill>
            <a:srgbClr val="BDC3C6"/>
          </a:solidFill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4733</xdr:colOff>
      <xdr:row>9</xdr:row>
      <xdr:rowOff>9298</xdr:rowOff>
    </xdr:from>
    <xdr:to>
      <xdr:col>4</xdr:col>
      <xdr:colOff>9466</xdr:colOff>
      <xdr:row>9</xdr:row>
      <xdr:rowOff>9298</xdr:rowOff>
    </xdr:to>
    <xdr:cxnSp macro="">
      <xdr:nvCxnSpPr>
        <xdr:cNvPr id="7" name="Straight Connector 6">
          <a:extLst>
            <a:ext uri="{FF2B5EF4-FFF2-40B4-BE49-F238E27FC236}">
              <a16:creationId xmlns:a16="http://schemas.microsoft.com/office/drawing/2014/main" id="{8719CE8B-E983-099A-B3ED-352B51B51F97}"/>
            </a:ext>
          </a:extLst>
        </xdr:cNvPr>
        <xdr:cNvCxnSpPr/>
      </xdr:nvCxnSpPr>
      <xdr:spPr>
        <a:xfrm>
          <a:off x="4733" y="2092098"/>
          <a:ext cx="2443133" cy="0"/>
        </a:xfrm>
        <a:prstGeom prst="line">
          <a:avLst/>
        </a:prstGeom>
        <a:ln w="28575"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719666</xdr:colOff>
      <xdr:row>9</xdr:row>
      <xdr:rowOff>9298</xdr:rowOff>
    </xdr:from>
    <xdr:to>
      <xdr:col>8</xdr:col>
      <xdr:colOff>1296620</xdr:colOff>
      <xdr:row>9</xdr:row>
      <xdr:rowOff>9298</xdr:rowOff>
    </xdr:to>
    <xdr:cxnSp macro="">
      <xdr:nvCxnSpPr>
        <xdr:cNvPr id="8" name="Straight Connector 7">
          <a:extLst>
            <a:ext uri="{FF2B5EF4-FFF2-40B4-BE49-F238E27FC236}">
              <a16:creationId xmlns:a16="http://schemas.microsoft.com/office/drawing/2014/main" id="{0477ABDC-BA91-25D6-6C3F-63C521EB05C1}"/>
            </a:ext>
          </a:extLst>
        </xdr:cNvPr>
        <xdr:cNvCxnSpPr/>
      </xdr:nvCxnSpPr>
      <xdr:spPr>
        <a:xfrm>
          <a:off x="3158066" y="2092098"/>
          <a:ext cx="2939154" cy="0"/>
        </a:xfrm>
        <a:prstGeom prst="line">
          <a:avLst/>
        </a:prstGeom>
        <a:ln w="28575"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1165986</xdr:colOff>
      <xdr:row>6</xdr:row>
      <xdr:rowOff>3458</xdr:rowOff>
    </xdr:from>
    <xdr:to>
      <xdr:col>4</xdr:col>
      <xdr:colOff>427080</xdr:colOff>
      <xdr:row>6</xdr:row>
      <xdr:rowOff>3458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C91A2E80-ABFE-44FA-B162-67E5ED1C8381}"/>
            </a:ext>
          </a:extLst>
        </xdr:cNvPr>
        <xdr:cNvCxnSpPr/>
      </xdr:nvCxnSpPr>
      <xdr:spPr>
        <a:xfrm>
          <a:off x="3871732" y="1346644"/>
          <a:ext cx="1030484" cy="0"/>
        </a:xfrm>
        <a:prstGeom prst="line">
          <a:avLst/>
        </a:prstGeom>
        <a:ln w="28575" cap="rnd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3451</xdr:colOff>
      <xdr:row>25</xdr:row>
      <xdr:rowOff>0</xdr:rowOff>
    </xdr:from>
    <xdr:to>
      <xdr:col>1</xdr:col>
      <xdr:colOff>3451</xdr:colOff>
      <xdr:row>28</xdr:row>
      <xdr:rowOff>4257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3DFD9309-8770-4E88-A65B-B189C3055146}"/>
            </a:ext>
          </a:extLst>
        </xdr:cNvPr>
        <xdr:cNvCxnSpPr/>
      </xdr:nvCxnSpPr>
      <xdr:spPr>
        <a:xfrm>
          <a:off x="742591" y="5905500"/>
          <a:ext cx="0" cy="758637"/>
        </a:xfrm>
        <a:prstGeom prst="line">
          <a:avLst/>
        </a:prstGeom>
        <a:ln w="28575">
          <a:solidFill>
            <a:sysClr val="windowText" lastClr="000000"/>
          </a:solidFill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</xdr:colOff>
      <xdr:row>3</xdr:row>
      <xdr:rowOff>60960</xdr:rowOff>
    </xdr:from>
    <xdr:to>
      <xdr:col>9</xdr:col>
      <xdr:colOff>0</xdr:colOff>
      <xdr:row>3</xdr:row>
      <xdr:rowOff>60960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B03B2E5B-62DA-CD52-47E5-43DD4D6E8679}"/>
            </a:ext>
          </a:extLst>
        </xdr:cNvPr>
        <xdr:cNvCxnSpPr/>
      </xdr:nvCxnSpPr>
      <xdr:spPr>
        <a:xfrm>
          <a:off x="7620" y="755725"/>
          <a:ext cx="5960633" cy="0"/>
        </a:xfrm>
        <a:prstGeom prst="line">
          <a:avLst/>
        </a:prstGeom>
        <a:ln w="19050">
          <a:solidFill>
            <a:sysClr val="windowText" lastClr="000000"/>
          </a:solidFill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</xdr:colOff>
      <xdr:row>3</xdr:row>
      <xdr:rowOff>93132</xdr:rowOff>
    </xdr:from>
    <xdr:to>
      <xdr:col>9</xdr:col>
      <xdr:colOff>0</xdr:colOff>
      <xdr:row>3</xdr:row>
      <xdr:rowOff>93132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2A40313D-9AC5-B21A-A4AA-73BD9CBE9DC9}"/>
            </a:ext>
          </a:extLst>
        </xdr:cNvPr>
        <xdr:cNvCxnSpPr/>
      </xdr:nvCxnSpPr>
      <xdr:spPr>
        <a:xfrm>
          <a:off x="7620" y="787897"/>
          <a:ext cx="5960633" cy="0"/>
        </a:xfrm>
        <a:prstGeom prst="line">
          <a:avLst/>
        </a:prstGeom>
        <a:ln w="19050">
          <a:solidFill>
            <a:sysClr val="windowText" lastClr="000000"/>
          </a:solidFill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88019</xdr:colOff>
      <xdr:row>9</xdr:row>
      <xdr:rowOff>128953</xdr:rowOff>
    </xdr:from>
    <xdr:to>
      <xdr:col>1</xdr:col>
      <xdr:colOff>88019</xdr:colOff>
      <xdr:row>15</xdr:row>
      <xdr:rowOff>58671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CB8BE835-8C74-4897-9FDE-59AE6EE9B412}"/>
            </a:ext>
          </a:extLst>
        </xdr:cNvPr>
        <xdr:cNvCxnSpPr/>
      </xdr:nvCxnSpPr>
      <xdr:spPr>
        <a:xfrm>
          <a:off x="695805" y="2024882"/>
          <a:ext cx="0" cy="1018289"/>
        </a:xfrm>
        <a:prstGeom prst="line">
          <a:avLst/>
        </a:prstGeom>
        <a:ln>
          <a:headEnd type="oval" w="med" len="med"/>
          <a:tailEnd type="oval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102930</xdr:colOff>
      <xdr:row>9</xdr:row>
      <xdr:rowOff>128953</xdr:rowOff>
    </xdr:from>
    <xdr:to>
      <xdr:col>6</xdr:col>
      <xdr:colOff>102930</xdr:colOff>
      <xdr:row>15</xdr:row>
      <xdr:rowOff>58671</xdr:rowOff>
    </xdr:to>
    <xdr:cxnSp macro="">
      <xdr:nvCxnSpPr>
        <xdr:cNvPr id="17" name="Straight Connector 16">
          <a:extLst>
            <a:ext uri="{FF2B5EF4-FFF2-40B4-BE49-F238E27FC236}">
              <a16:creationId xmlns:a16="http://schemas.microsoft.com/office/drawing/2014/main" id="{AFDBA023-01B7-AF3A-EA45-5A468F02371D}"/>
            </a:ext>
          </a:extLst>
        </xdr:cNvPr>
        <xdr:cNvCxnSpPr/>
      </xdr:nvCxnSpPr>
      <xdr:spPr>
        <a:xfrm>
          <a:off x="4965216" y="2024882"/>
          <a:ext cx="0" cy="1018289"/>
        </a:xfrm>
        <a:prstGeom prst="line">
          <a:avLst/>
        </a:prstGeom>
        <a:ln>
          <a:headEnd type="oval" w="med" len="med"/>
          <a:tailEnd type="oval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598188</xdr:colOff>
      <xdr:row>29</xdr:row>
      <xdr:rowOff>42796</xdr:rowOff>
    </xdr:from>
    <xdr:to>
      <xdr:col>4</xdr:col>
      <xdr:colOff>607292</xdr:colOff>
      <xdr:row>37</xdr:row>
      <xdr:rowOff>90297</xdr:rowOff>
    </xdr:to>
    <xdr:grpSp>
      <xdr:nvGrpSpPr>
        <xdr:cNvPr id="2" name="Group 7">
          <a:extLst>
            <a:ext uri="{FF2B5EF4-FFF2-40B4-BE49-F238E27FC236}">
              <a16:creationId xmlns:a16="http://schemas.microsoft.com/office/drawing/2014/main" id="{DE760319-88A7-4D96-BB57-2C3D76DD2291}"/>
            </a:ext>
          </a:extLst>
        </xdr:cNvPr>
        <xdr:cNvGrpSpPr>
          <a:grpSpLocks/>
        </xdr:cNvGrpSpPr>
      </xdr:nvGrpSpPr>
      <xdr:grpSpPr bwMode="auto">
        <a:xfrm>
          <a:off x="1262929" y="6893453"/>
          <a:ext cx="4477195" cy="1602258"/>
          <a:chOff x="7162797" y="3971926"/>
          <a:chExt cx="2581275" cy="1371600"/>
        </a:xfrm>
      </xdr:grpSpPr>
      <xdr:sp macro="" textlink="">
        <xdr:nvSpPr>
          <xdr:cNvPr id="3" name="TextBox 2">
            <a:extLst>
              <a:ext uri="{FF2B5EF4-FFF2-40B4-BE49-F238E27FC236}">
                <a16:creationId xmlns:a16="http://schemas.microsoft.com/office/drawing/2014/main" id="{238873BB-7DD4-0530-E21E-03236CB77E73}"/>
              </a:ext>
            </a:extLst>
          </xdr:cNvPr>
          <xdr:cNvSpPr txBox="1"/>
        </xdr:nvSpPr>
        <xdr:spPr>
          <a:xfrm>
            <a:off x="7162797" y="3971926"/>
            <a:ext cx="2581275" cy="1371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n-US" sz="1200"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Penerima/Pembeli</a:t>
            </a:r>
            <a:r>
              <a:rPr lang="id-ID" sz="1200"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,</a:t>
            </a:r>
            <a:endParaRPr lang="en-US" sz="12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endParaRPr>
          </a:p>
          <a:p>
            <a:pPr algn="ctr"/>
            <a:endParaRPr lang="en-US" sz="12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endParaRPr>
          </a:p>
          <a:p>
            <a:pPr algn="ctr"/>
            <a:endParaRPr lang="en-US" sz="12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endParaRPr>
          </a:p>
          <a:p>
            <a:pPr algn="ctr"/>
            <a:endParaRPr lang="en-US" sz="12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endParaRPr>
          </a:p>
          <a:p>
            <a:pPr algn="ctr"/>
            <a:endParaRPr lang="en-US" sz="12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endParaRPr>
          </a:p>
          <a:p>
            <a:pPr algn="ctr"/>
            <a:endParaRPr lang="id-ID" sz="1200" b="1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endParaRPr>
          </a:p>
          <a:p>
            <a:pPr algn="ctr"/>
            <a:r>
              <a:rPr lang="id-ID" sz="1200" b="1"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RIZKY FAISAL</a:t>
            </a:r>
            <a:r>
              <a:rPr lang="id-ID" sz="1200" b="1" baseline="0"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 RAFI</a:t>
            </a:r>
            <a:endParaRPr lang="en-US" sz="1200" b="1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endParaRPr>
          </a:p>
        </xdr:txBody>
      </xdr:sp>
      <xdr:cxnSp macro="">
        <xdr:nvCxnSpPr>
          <xdr:cNvPr id="4" name="Straight Connector 3">
            <a:extLst>
              <a:ext uri="{FF2B5EF4-FFF2-40B4-BE49-F238E27FC236}">
                <a16:creationId xmlns:a16="http://schemas.microsoft.com/office/drawing/2014/main" id="{57FA8CF1-BD96-66DC-0602-7A6F6ADF903E}"/>
              </a:ext>
            </a:extLst>
          </xdr:cNvPr>
          <xdr:cNvCxnSpPr/>
        </xdr:nvCxnSpPr>
        <xdr:spPr>
          <a:xfrm>
            <a:off x="7192468" y="5216957"/>
            <a:ext cx="2521935" cy="0"/>
          </a:xfrm>
          <a:prstGeom prst="line">
            <a:avLst/>
          </a:prstGeom>
        </xdr:spPr>
        <xdr:style>
          <a:lnRef idx="3">
            <a:schemeClr val="dk1"/>
          </a:lnRef>
          <a:fillRef idx="0">
            <a:schemeClr val="dk1"/>
          </a:fillRef>
          <a:effectRef idx="2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6</xdr:col>
      <xdr:colOff>348344</xdr:colOff>
      <xdr:row>29</xdr:row>
      <xdr:rowOff>42796</xdr:rowOff>
    </xdr:from>
    <xdr:to>
      <xdr:col>9</xdr:col>
      <xdr:colOff>3077</xdr:colOff>
      <xdr:row>37</xdr:row>
      <xdr:rowOff>90296</xdr:rowOff>
    </xdr:to>
    <xdr:grpSp>
      <xdr:nvGrpSpPr>
        <xdr:cNvPr id="5" name="Group 4">
          <a:extLst>
            <a:ext uri="{FF2B5EF4-FFF2-40B4-BE49-F238E27FC236}">
              <a16:creationId xmlns:a16="http://schemas.microsoft.com/office/drawing/2014/main" id="{CA8E1BDA-D114-4344-9D48-9E26A162E419}"/>
            </a:ext>
          </a:extLst>
        </xdr:cNvPr>
        <xdr:cNvGrpSpPr>
          <a:grpSpLocks/>
        </xdr:cNvGrpSpPr>
      </xdr:nvGrpSpPr>
      <xdr:grpSpPr bwMode="auto">
        <a:xfrm>
          <a:off x="8801002" y="6893453"/>
          <a:ext cx="4408920" cy="1602257"/>
          <a:chOff x="7162800" y="3971925"/>
          <a:chExt cx="2581275" cy="1371600"/>
        </a:xfrm>
      </xdr:grpSpPr>
      <xdr:sp macro="" textlink="">
        <xdr:nvSpPr>
          <xdr:cNvPr id="6" name="TextBox 5">
            <a:extLst>
              <a:ext uri="{FF2B5EF4-FFF2-40B4-BE49-F238E27FC236}">
                <a16:creationId xmlns:a16="http://schemas.microsoft.com/office/drawing/2014/main" id="{4FEFE362-9238-D09F-856D-E0C17A020705}"/>
              </a:ext>
            </a:extLst>
          </xdr:cNvPr>
          <xdr:cNvSpPr txBox="1"/>
        </xdr:nvSpPr>
        <xdr:spPr>
          <a:xfrm>
            <a:off x="7162800" y="3971925"/>
            <a:ext cx="2581275" cy="1371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n-US" sz="1200"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Hormat Kami</a:t>
            </a:r>
            <a:r>
              <a:rPr lang="id-ID" sz="1200"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,</a:t>
            </a:r>
            <a:endParaRPr lang="en-US" sz="12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endParaRPr>
          </a:p>
          <a:p>
            <a:pPr algn="ctr"/>
            <a:endParaRPr lang="en-US" sz="12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endParaRPr>
          </a:p>
          <a:p>
            <a:pPr algn="ctr"/>
            <a:endParaRPr lang="en-US" sz="12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endParaRPr>
          </a:p>
          <a:p>
            <a:pPr algn="ctr"/>
            <a:endParaRPr lang="en-US" sz="12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endParaRPr>
          </a:p>
          <a:p>
            <a:pPr algn="ctr"/>
            <a:endParaRPr lang="en-US" sz="120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endParaRPr>
          </a:p>
          <a:p>
            <a:pPr algn="ctr"/>
            <a:endParaRPr lang="id-ID" sz="1200" b="1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endParaRPr>
          </a:p>
          <a:p>
            <a:pPr algn="ctr"/>
            <a:r>
              <a:rPr lang="id-ID" sz="1200" b="1"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GIBRAN RAKA</a:t>
            </a:r>
            <a:endParaRPr lang="id-ID" sz="1200" b="1" baseline="0"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endParaRPr>
          </a:p>
        </xdr:txBody>
      </xdr:sp>
      <xdr:cxnSp macro="">
        <xdr:nvCxnSpPr>
          <xdr:cNvPr id="7" name="Straight Connector 6">
            <a:extLst>
              <a:ext uri="{FF2B5EF4-FFF2-40B4-BE49-F238E27FC236}">
                <a16:creationId xmlns:a16="http://schemas.microsoft.com/office/drawing/2014/main" id="{C6477C19-4CB0-FED0-E728-119CDC215671}"/>
              </a:ext>
            </a:extLst>
          </xdr:cNvPr>
          <xdr:cNvCxnSpPr/>
        </xdr:nvCxnSpPr>
        <xdr:spPr>
          <a:xfrm>
            <a:off x="7187700" y="5216956"/>
            <a:ext cx="2531475" cy="0"/>
          </a:xfrm>
          <a:prstGeom prst="line">
            <a:avLst/>
          </a:prstGeom>
        </xdr:spPr>
        <xdr:style>
          <a:lnRef idx="3">
            <a:schemeClr val="dk1"/>
          </a:lnRef>
          <a:fillRef idx="0">
            <a:schemeClr val="dk1"/>
          </a:fillRef>
          <a:effectRef idx="2">
            <a:schemeClr val="dk1"/>
          </a:effectRef>
          <a:fontRef idx="minor">
            <a:schemeClr val="tx1"/>
          </a:fontRef>
        </xdr:style>
      </xdr:cxnSp>
    </xdr:grp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405029</xdr:colOff>
      <xdr:row>20</xdr:row>
      <xdr:rowOff>169363</xdr:rowOff>
    </xdr:from>
    <xdr:to>
      <xdr:col>3</xdr:col>
      <xdr:colOff>562142</xdr:colOff>
      <xdr:row>24</xdr:row>
      <xdr:rowOff>130082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BB3A59BA-858D-C649-0780-3C254753861C}"/>
            </a:ext>
          </a:extLst>
        </xdr:cNvPr>
        <xdr:cNvSpPr/>
      </xdr:nvSpPr>
      <xdr:spPr>
        <a:xfrm>
          <a:off x="1010147" y="5660245"/>
          <a:ext cx="2465524" cy="677896"/>
        </a:xfrm>
        <a:prstGeom prst="roundRect">
          <a:avLst/>
        </a:prstGeom>
        <a:solidFill>
          <a:srgbClr val="DEE9D9"/>
        </a:solidFill>
        <a:ln w="28575">
          <a:solidFill>
            <a:schemeClr val="accent6">
              <a:lumMod val="60000"/>
              <a:lumOff val="40000"/>
            </a:schemeClr>
          </a:solidFill>
          <a:prstDash val="dash"/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id-ID" sz="2400" b="1">
              <a:solidFill>
                <a:schemeClr val="accent6">
                  <a:lumMod val="75000"/>
                </a:schemeClr>
              </a:solidFill>
            </a:rPr>
            <a:t>54. 860.640</a:t>
          </a:r>
          <a:endParaRPr lang="id-ID" sz="1100" b="1">
            <a:solidFill>
              <a:schemeClr val="accent6">
                <a:lumMod val="75000"/>
              </a:schemeClr>
            </a:solidFill>
          </a:endParaRPr>
        </a:p>
      </xdr:txBody>
    </xdr:sp>
    <xdr:clientData/>
  </xdr:twoCellAnchor>
  <xdr:twoCellAnchor>
    <xdr:from>
      <xdr:col>0</xdr:col>
      <xdr:colOff>439917</xdr:colOff>
      <xdr:row>0</xdr:row>
      <xdr:rowOff>71465</xdr:rowOff>
    </xdr:from>
    <xdr:to>
      <xdr:col>10</xdr:col>
      <xdr:colOff>172824</xdr:colOff>
      <xdr:row>26</xdr:row>
      <xdr:rowOff>73235</xdr:rowOff>
    </xdr:to>
    <xdr:sp macro="" textlink="">
      <xdr:nvSpPr>
        <xdr:cNvPr id="3" name="Rectangle: Rounded Corners 2">
          <a:extLst>
            <a:ext uri="{FF2B5EF4-FFF2-40B4-BE49-F238E27FC236}">
              <a16:creationId xmlns:a16="http://schemas.microsoft.com/office/drawing/2014/main" id="{74498C0E-0CBD-A5CE-3FC4-EB7017455E76}"/>
            </a:ext>
          </a:extLst>
        </xdr:cNvPr>
        <xdr:cNvSpPr/>
      </xdr:nvSpPr>
      <xdr:spPr>
        <a:xfrm>
          <a:off x="439917" y="71465"/>
          <a:ext cx="9403583" cy="6702888"/>
        </a:xfrm>
        <a:prstGeom prst="roundRect">
          <a:avLst>
            <a:gd name="adj" fmla="val 5048"/>
          </a:avLst>
        </a:prstGeom>
        <a:noFill/>
        <a:ln w="28575">
          <a:solidFill>
            <a:schemeClr val="tx1"/>
          </a:solidFill>
          <a:prstDash val="lg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id-ID" sz="1100"/>
        </a:p>
      </xdr:txBody>
    </xdr:sp>
    <xdr:clientData/>
  </xdr:twoCellAnchor>
  <xdr:twoCellAnchor>
    <xdr:from>
      <xdr:col>7</xdr:col>
      <xdr:colOff>176431</xdr:colOff>
      <xdr:row>18</xdr:row>
      <xdr:rowOff>134470</xdr:rowOff>
    </xdr:from>
    <xdr:to>
      <xdr:col>8</xdr:col>
      <xdr:colOff>392206</xdr:colOff>
      <xdr:row>22</xdr:row>
      <xdr:rowOff>44823</xdr:rowOff>
    </xdr:to>
    <xdr:sp macro="" textlink="">
      <xdr:nvSpPr>
        <xdr:cNvPr id="4" name="Rectangle: Rounded Corners 3">
          <a:extLst>
            <a:ext uri="{FF2B5EF4-FFF2-40B4-BE49-F238E27FC236}">
              <a16:creationId xmlns:a16="http://schemas.microsoft.com/office/drawing/2014/main" id="{62E60022-782C-AD77-FD78-F807C5D0E93D}"/>
            </a:ext>
          </a:extLst>
        </xdr:cNvPr>
        <xdr:cNvSpPr/>
      </xdr:nvSpPr>
      <xdr:spPr>
        <a:xfrm>
          <a:off x="7224931" y="4818529"/>
          <a:ext cx="1089834" cy="627529"/>
        </a:xfrm>
        <a:prstGeom prst="roundRect">
          <a:avLst/>
        </a:prstGeom>
        <a:solidFill>
          <a:srgbClr val="F9F9F9"/>
        </a:solidFill>
        <a:ln w="28575">
          <a:solidFill>
            <a:schemeClr val="bg2">
              <a:lumMod val="90000"/>
            </a:schemeClr>
          </a:solidFill>
          <a:prstDash val="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id-ID" sz="1400" b="1">
              <a:solidFill>
                <a:schemeClr val="bg2">
                  <a:lumMod val="50000"/>
                </a:schemeClr>
              </a:solidFill>
            </a:rPr>
            <a:t>MATERAI RP.</a:t>
          </a:r>
          <a:r>
            <a:rPr lang="id-ID" sz="1400" b="1" baseline="0">
              <a:solidFill>
                <a:schemeClr val="bg2">
                  <a:lumMod val="50000"/>
                </a:schemeClr>
              </a:solidFill>
            </a:rPr>
            <a:t> 10.000</a:t>
          </a:r>
        </a:p>
      </xdr:txBody>
    </xdr:sp>
    <xdr:clientData/>
  </xdr:twoCellAnchor>
  <xdr:twoCellAnchor>
    <xdr:from>
      <xdr:col>1</xdr:col>
      <xdr:colOff>10871</xdr:colOff>
      <xdr:row>1</xdr:row>
      <xdr:rowOff>15924</xdr:rowOff>
    </xdr:from>
    <xdr:to>
      <xdr:col>4</xdr:col>
      <xdr:colOff>852985</xdr:colOff>
      <xdr:row>3</xdr:row>
      <xdr:rowOff>112596</xdr:rowOff>
    </xdr:to>
    <xdr:sp macro="" textlink="">
      <xdr:nvSpPr>
        <xdr:cNvPr id="6" name="Rectangle: Rounded Corners 5">
          <a:extLst>
            <a:ext uri="{FF2B5EF4-FFF2-40B4-BE49-F238E27FC236}">
              <a16:creationId xmlns:a16="http://schemas.microsoft.com/office/drawing/2014/main" id="{676C561A-7484-FA57-D2A7-B179343FE0E6}"/>
            </a:ext>
          </a:extLst>
        </xdr:cNvPr>
        <xdr:cNvSpPr/>
      </xdr:nvSpPr>
      <xdr:spPr>
        <a:xfrm>
          <a:off x="615989" y="329689"/>
          <a:ext cx="4237496" cy="668172"/>
        </a:xfrm>
        <a:prstGeom prst="roundRect">
          <a:avLst/>
        </a:prstGeom>
        <a:solidFill>
          <a:srgbClr val="DEE9D9"/>
        </a:solidFill>
        <a:ln>
          <a:solidFill>
            <a:schemeClr val="bg1"/>
          </a:solidFill>
        </a:ln>
        <a:effectLst>
          <a:innerShdw blurRad="114300">
            <a:prstClr val="black"/>
          </a:inn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id-ID" sz="2000" b="1">
              <a:solidFill>
                <a:schemeClr val="tx1"/>
              </a:solidFill>
            </a:rPr>
            <a:t>PT. BESMART INDONESIA GEMILANG</a:t>
          </a:r>
        </a:p>
        <a:p>
          <a:pPr algn="l"/>
          <a:r>
            <a:rPr lang="id-ID" sz="1200" b="1">
              <a:solidFill>
                <a:schemeClr val="tx1"/>
              </a:solidFill>
            </a:rPr>
            <a:t>Jl. Merdeka Indonesia, Kota Tangerang | Telp: 0812-XXXX-XXXX</a:t>
          </a:r>
        </a:p>
      </xdr:txBody>
    </xdr:sp>
    <xdr:clientData/>
  </xdr:twoCellAnchor>
  <xdr:twoCellAnchor>
    <xdr:from>
      <xdr:col>6</xdr:col>
      <xdr:colOff>22746</xdr:colOff>
      <xdr:row>1</xdr:row>
      <xdr:rowOff>15924</xdr:rowOff>
    </xdr:from>
    <xdr:to>
      <xdr:col>9</xdr:col>
      <xdr:colOff>864358</xdr:colOff>
      <xdr:row>3</xdr:row>
      <xdr:rowOff>112596</xdr:rowOff>
    </xdr:to>
    <xdr:sp macro="" textlink="">
      <xdr:nvSpPr>
        <xdr:cNvPr id="7" name="Rectangle: Rounded Corners 6">
          <a:extLst>
            <a:ext uri="{FF2B5EF4-FFF2-40B4-BE49-F238E27FC236}">
              <a16:creationId xmlns:a16="http://schemas.microsoft.com/office/drawing/2014/main" id="{D1D98D08-C044-7844-4219-3A63E0A75ABA}"/>
            </a:ext>
          </a:extLst>
        </xdr:cNvPr>
        <xdr:cNvSpPr/>
      </xdr:nvSpPr>
      <xdr:spPr>
        <a:xfrm>
          <a:off x="6164239" y="328685"/>
          <a:ext cx="3468806" cy="676702"/>
        </a:xfrm>
        <a:prstGeom prst="roundRect">
          <a:avLst/>
        </a:prstGeom>
        <a:solidFill>
          <a:srgbClr val="DEE9D9"/>
        </a:solidFill>
        <a:ln>
          <a:solidFill>
            <a:schemeClr val="bg1"/>
          </a:solidFill>
        </a:ln>
        <a:effectLst>
          <a:innerShdw blurRad="114300">
            <a:prstClr val="black"/>
          </a:inn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r"/>
          <a:r>
            <a:rPr lang="id-ID" sz="2000" b="1">
              <a:solidFill>
                <a:schemeClr val="tx1"/>
              </a:solidFill>
            </a:rPr>
            <a:t>KWITANSI</a:t>
          </a:r>
        </a:p>
        <a:p>
          <a:pPr algn="r"/>
          <a:r>
            <a:rPr lang="id-ID" sz="1200" b="1">
              <a:solidFill>
                <a:schemeClr val="tx1"/>
              </a:solidFill>
            </a:rPr>
            <a:t>NO: KW/BG/09/2026/012</a:t>
          </a:r>
        </a:p>
      </xdr:txBody>
    </xdr:sp>
    <xdr:clientData/>
  </xdr:twoCellAnchor>
  <xdr:twoCellAnchor>
    <xdr:from>
      <xdr:col>0</xdr:col>
      <xdr:colOff>594360</xdr:colOff>
      <xdr:row>4</xdr:row>
      <xdr:rowOff>76358</xdr:rowOff>
    </xdr:from>
    <xdr:to>
      <xdr:col>10</xdr:col>
      <xdr:colOff>5080</xdr:colOff>
      <xdr:row>4</xdr:row>
      <xdr:rowOff>76358</xdr:rowOff>
    </xdr:to>
    <xdr:cxnSp macro="">
      <xdr:nvCxnSpPr>
        <xdr:cNvPr id="9" name="Straight Connector 8">
          <a:extLst>
            <a:ext uri="{FF2B5EF4-FFF2-40B4-BE49-F238E27FC236}">
              <a16:creationId xmlns:a16="http://schemas.microsoft.com/office/drawing/2014/main" id="{8E5CA280-64B8-6B3F-66CC-A7A35BAD236D}"/>
            </a:ext>
          </a:extLst>
        </xdr:cNvPr>
        <xdr:cNvCxnSpPr/>
      </xdr:nvCxnSpPr>
      <xdr:spPr>
        <a:xfrm>
          <a:off x="594360" y="1178045"/>
          <a:ext cx="9059660" cy="0"/>
        </a:xfrm>
        <a:prstGeom prst="line">
          <a:avLst/>
        </a:prstGeom>
        <a:ln w="38100" cap="rnd">
          <a:solidFill>
            <a:schemeClr val="tx1"/>
          </a:solidFill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594360</xdr:colOff>
      <xdr:row>6</xdr:row>
      <xdr:rowOff>91771</xdr:rowOff>
    </xdr:from>
    <xdr:to>
      <xdr:col>9</xdr:col>
      <xdr:colOff>870647</xdr:colOff>
      <xdr:row>6</xdr:row>
      <xdr:rowOff>91771</xdr:rowOff>
    </xdr:to>
    <xdr:cxnSp macro="">
      <xdr:nvCxnSpPr>
        <xdr:cNvPr id="13" name="Straight Connector 12">
          <a:extLst>
            <a:ext uri="{FF2B5EF4-FFF2-40B4-BE49-F238E27FC236}">
              <a16:creationId xmlns:a16="http://schemas.microsoft.com/office/drawing/2014/main" id="{FE3BED62-1CCE-CAD8-D38E-889FA78F8D13}"/>
            </a:ext>
          </a:extLst>
        </xdr:cNvPr>
        <xdr:cNvCxnSpPr/>
      </xdr:nvCxnSpPr>
      <xdr:spPr>
        <a:xfrm>
          <a:off x="594360" y="1955458"/>
          <a:ext cx="9053058" cy="0"/>
        </a:xfrm>
        <a:prstGeom prst="line">
          <a:avLst/>
        </a:prstGeom>
        <a:ln w="28575" cap="rnd">
          <a:solidFill>
            <a:schemeClr val="bg2">
              <a:lumMod val="75000"/>
            </a:schemeClr>
          </a:solidFill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594360</xdr:colOff>
      <xdr:row>8</xdr:row>
      <xdr:rowOff>94133</xdr:rowOff>
    </xdr:from>
    <xdr:to>
      <xdr:col>9</xdr:col>
      <xdr:colOff>870647</xdr:colOff>
      <xdr:row>8</xdr:row>
      <xdr:rowOff>94133</xdr:rowOff>
    </xdr:to>
    <xdr:cxnSp macro="">
      <xdr:nvCxnSpPr>
        <xdr:cNvPr id="14" name="Straight Connector 13">
          <a:extLst>
            <a:ext uri="{FF2B5EF4-FFF2-40B4-BE49-F238E27FC236}">
              <a16:creationId xmlns:a16="http://schemas.microsoft.com/office/drawing/2014/main" id="{1C4D3338-ED84-94AD-43BF-9588E7AE126E}"/>
            </a:ext>
          </a:extLst>
        </xdr:cNvPr>
        <xdr:cNvCxnSpPr/>
      </xdr:nvCxnSpPr>
      <xdr:spPr>
        <a:xfrm>
          <a:off x="594360" y="2655555"/>
          <a:ext cx="9053058" cy="0"/>
        </a:xfrm>
        <a:prstGeom prst="line">
          <a:avLst/>
        </a:prstGeom>
        <a:ln w="28575" cap="rnd">
          <a:solidFill>
            <a:schemeClr val="bg2">
              <a:lumMod val="75000"/>
            </a:schemeClr>
          </a:solidFill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594360</xdr:colOff>
      <xdr:row>10</xdr:row>
      <xdr:rowOff>101807</xdr:rowOff>
    </xdr:from>
    <xdr:to>
      <xdr:col>9</xdr:col>
      <xdr:colOff>870647</xdr:colOff>
      <xdr:row>10</xdr:row>
      <xdr:rowOff>101807</xdr:rowOff>
    </xdr:to>
    <xdr:cxnSp macro="">
      <xdr:nvCxnSpPr>
        <xdr:cNvPr id="15" name="Straight Connector 14">
          <a:extLst>
            <a:ext uri="{FF2B5EF4-FFF2-40B4-BE49-F238E27FC236}">
              <a16:creationId xmlns:a16="http://schemas.microsoft.com/office/drawing/2014/main" id="{A26F5600-3D59-1A3F-3DC0-A00F90F84025}"/>
            </a:ext>
          </a:extLst>
        </xdr:cNvPr>
        <xdr:cNvCxnSpPr/>
      </xdr:nvCxnSpPr>
      <xdr:spPr>
        <a:xfrm>
          <a:off x="594360" y="3360964"/>
          <a:ext cx="9053058" cy="0"/>
        </a:xfrm>
        <a:prstGeom prst="line">
          <a:avLst/>
        </a:prstGeom>
        <a:ln w="28575" cap="rnd">
          <a:solidFill>
            <a:schemeClr val="bg2">
              <a:lumMod val="75000"/>
            </a:schemeClr>
          </a:solidFill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594360</xdr:colOff>
      <xdr:row>13</xdr:row>
      <xdr:rowOff>6329</xdr:rowOff>
    </xdr:from>
    <xdr:to>
      <xdr:col>9</xdr:col>
      <xdr:colOff>870647</xdr:colOff>
      <xdr:row>13</xdr:row>
      <xdr:rowOff>6329</xdr:rowOff>
    </xdr:to>
    <xdr:cxnSp macro="">
      <xdr:nvCxnSpPr>
        <xdr:cNvPr id="16" name="Straight Connector 15">
          <a:extLst>
            <a:ext uri="{FF2B5EF4-FFF2-40B4-BE49-F238E27FC236}">
              <a16:creationId xmlns:a16="http://schemas.microsoft.com/office/drawing/2014/main" id="{972EBFF6-2E49-4E7E-BC12-CBA2ACD95247}"/>
            </a:ext>
          </a:extLst>
        </xdr:cNvPr>
        <xdr:cNvCxnSpPr/>
      </xdr:nvCxnSpPr>
      <xdr:spPr>
        <a:xfrm>
          <a:off x="594360" y="4133004"/>
          <a:ext cx="9103612" cy="0"/>
        </a:xfrm>
        <a:prstGeom prst="line">
          <a:avLst/>
        </a:prstGeom>
        <a:ln w="38100" cap="rnd">
          <a:solidFill>
            <a:schemeClr val="tx1"/>
          </a:solidFill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D53294CB-0A0F-4AE9-B501-0C5C17BDCF54}" name="Table5" displayName="Table5" ref="C13:I21" totalsRowShown="0" headerRowDxfId="11" dataDxfId="9" headerRowBorderDxfId="10" tableBorderDxfId="8" totalsRowBorderDxfId="7">
  <autoFilter ref="C13:I21" xr:uid="{D53294CB-0A0F-4AE9-B501-0C5C17BDCF54}"/>
  <tableColumns count="7">
    <tableColumn id="1" xr3:uid="{8E842D6C-049A-453D-BEE9-361D9A562164}" name="No." dataDxfId="6"/>
    <tableColumn id="2" xr3:uid="{9406401C-5634-4F31-9190-BF6FE66D7ABF}" name="Kode" dataDxfId="5">
      <calculatedColumnFormula>'1. Purchase Order'!B19</calculatedColumnFormula>
    </tableColumn>
    <tableColumn id="3" xr3:uid="{00BF67C4-A8F2-4654-90FE-3E36E385B966}" name="Nama Barang" dataDxfId="4">
      <calculatedColumnFormula>IFERROR(VLOOKUP(D14,Tabel_Barang[[Kode]:[Harga]],2,FALSE),"Terjadi Kesalahan")</calculatedColumnFormula>
    </tableColumn>
    <tableColumn id="4" xr3:uid="{92DE8CBA-5D1A-4CD1-B980-B3AE7BBBA323}" name="Jumlah" dataDxfId="0">
      <calculatedColumnFormula>_xlfn.XLOOKUP(Table5[[#This Row],[Kode]],'1. Purchase Order'!$B$19:$B$26,'1. Purchase Order'!$F$19:$F$26, " ",)</calculatedColumnFormula>
    </tableColumn>
    <tableColumn id="5" xr3:uid="{47AEECCA-F096-4310-8A21-F1B4673754A4}" name="Harga Satuan" dataDxfId="3">
      <calculatedColumnFormula>_xlfn.XLOOKUP(Table5[[#This Row],[Kode]],'Master Data'!$B$3:$B$12,'Master Data'!$D$3:$D$12," ",0)</calculatedColumnFormula>
    </tableColumn>
    <tableColumn id="6" xr3:uid="{E820E61A-A53C-491C-9898-49A04E9AECD4}" name="Diskon" dataDxfId="2">
      <calculatedColumnFormula>IFERROR(IF(F14&gt;=12, Table5[[#This Row],[Harga Satuan]] * Table5[[#This Row],[Jumlah]] * 10%, 0),"Terjadi Kesalahan")</calculatedColumnFormula>
    </tableColumn>
    <tableColumn id="7" xr3:uid="{F95C62FE-615C-4AA8-A71B-98EF4F4310C9}" name="Total" dataDxfId="1">
      <calculatedColumnFormula>IFERROR(Table5[[#This Row],[Jumlah]]*Table5[[#This Row],[Harga Satuan]]-Table5[[#This Row],[Diskon]],"Terjadi Kesalahan")</calculatedColumnFormula>
    </tableColumn>
  </tableColumns>
  <tableStyleInfo name="TableStyleMedium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2A04DF7-D29E-454E-B240-C64707282E85}" name="Tabel_Shipping" displayName="Tabel_Shipping" ref="F16:J18" totalsRowShown="0" headerRowDxfId="34">
  <autoFilter ref="F16:J18" xr:uid="{F2A04DF7-D29E-454E-B240-C64707282E85}"/>
  <tableColumns count="5">
    <tableColumn id="1" xr3:uid="{6B74BC58-C341-48ED-B6E9-CA86A67549C7}" name="No." dataDxfId="33"/>
    <tableColumn id="2" xr3:uid="{51F4FB6F-E451-4902-AF77-02D30371D1FD}" name="Perusahaan Shipping"/>
    <tableColumn id="3" xr3:uid="{A1C68577-80C3-42FA-AA85-FA23BCC46BAF}" name="Alamat Shipping"/>
    <tableColumn id="4" xr3:uid="{62EC4D34-FBBB-4CA0-8F70-E782A0A449FE}" name="UP Shipping"/>
    <tableColumn id="5" xr3:uid="{C0523BBB-D68F-4394-B738-55C3783AFDDB}" name="Telp Shipping" dataDxfId="32"/>
  </tableColumns>
  <tableStyleInfo name="TableStyleMedium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DD55F27-D6D5-49F6-9EFC-795145337ACA}" name="Tabel_Barang" displayName="Tabel_Barang" ref="A2:D12" totalsRowShown="0" headerRowDxfId="31">
  <autoFilter ref="A2:D12" xr:uid="{EDD55F27-D6D5-49F6-9EFC-795145337ACA}"/>
  <tableColumns count="4">
    <tableColumn id="1" xr3:uid="{4E1907C1-0E14-48C0-B847-054CF2455BD3}" name="No." dataDxfId="30"/>
    <tableColumn id="2" xr3:uid="{22A267D6-6F6F-44ED-BFB6-42BA1EA964E2}" name="Kode" dataDxfId="29"/>
    <tableColumn id="3" xr3:uid="{E164829E-4815-409D-8324-D50ED84FDE7D}" name="Deskripsi Barang"/>
    <tableColumn id="4" xr3:uid="{C77CF532-9BB5-4FB9-A72F-5430AD008247}" name="Harga" dataDxfId="28"/>
  </tableColumns>
  <tableStyleInfo name="TableStyleMedium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60D959E-7514-41BF-AF4F-28D496EB1D77}" name="Tabel_Vendor" displayName="Tabel_Vendor" ref="F2:L8" totalsRowShown="0" headerRowDxfId="27">
  <autoFilter ref="F2:L8" xr:uid="{B60D959E-7514-41BF-AF4F-28D496EB1D77}"/>
  <tableColumns count="7">
    <tableColumn id="7" xr3:uid="{E77A07F2-B2FF-44EC-BAF2-603F57FE9505}" name="No." dataDxfId="26"/>
    <tableColumn id="1" xr3:uid="{930C282E-3B0A-4968-BA66-620A332E033C}" name="Nomor PO" dataDxfId="25"/>
    <tableColumn id="2" xr3:uid="{32888AFD-DF87-40C8-9779-60EE0C25D510}" name="Perusahaan Vendor" dataDxfId="24"/>
    <tableColumn id="3" xr3:uid="{5DCE0021-5EA5-4996-9618-BA648C762BF4}" name="Alamat Vendor" dataDxfId="23"/>
    <tableColumn id="4" xr3:uid="{97882622-C46E-47B6-B8CF-D7F05F8E6EB8}" name="UP Vendor"/>
    <tableColumn id="5" xr3:uid="{E52E24FE-6569-4EB6-B98B-4AF52FB7BA54}" name="Telp" dataDxfId="22"/>
    <tableColumn id="8" xr3:uid="{8517FA98-BA02-463A-9493-8A241905FFC4}" name="Tanggal Diaharapkan"/>
  </tableColumns>
  <tableStyleInfo name="TableStyleMedium1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664C0E00-E5A8-4EC7-A8EE-D09366E300B6}" name="Data_Tujuan" displayName="Data_Tujuan" ref="N2:V4" totalsRowShown="0" headerRowDxfId="21">
  <autoFilter ref="N2:V4" xr:uid="{664C0E00-E5A8-4EC7-A8EE-D09366E300B6}"/>
  <tableColumns count="9">
    <tableColumn id="1" xr3:uid="{AA3F0100-6285-42AA-8DCE-567771C053FA}" name="No." dataDxfId="20"/>
    <tableColumn id="2" xr3:uid="{5FEE7DF0-1FC8-468D-8B64-00CF0CD74EB9}" name="No Surat Jalan" dataDxfId="19"/>
    <tableColumn id="3" xr3:uid="{EE960F56-089F-4979-B6F2-C7A16C195C13}" name="Tanggal" dataDxfId="18"/>
    <tableColumn id="4" xr3:uid="{2EA8D82D-4EC6-401C-BBCC-7586AFB9EE9D}" name="No. PO/Ref" dataDxfId="17"/>
    <tableColumn id="5" xr3:uid="{59EE597C-A019-4BD7-95E5-470AC37354A0}" name="Nama Supir" dataDxfId="16"/>
    <tableColumn id="6" xr3:uid="{FF08DE90-DC41-492A-9801-620B5AD16C13}" name="No. Polisi" dataDxfId="15">
      <calculatedColumnFormula>"B "&amp;RIGHT(RAND(),4)&amp;" AB"</calculatedColumnFormula>
    </tableColumn>
    <tableColumn id="7" xr3:uid="{73E4C5D0-B21F-4A0D-8567-1221FB174E44}" name="Nama Perusahaan" dataDxfId="14"/>
    <tableColumn id="8" xr3:uid="{D3971343-8550-4561-AF8A-35A6D05E2955}" name="Untuk Perhatian" dataDxfId="13"/>
    <tableColumn id="9" xr3:uid="{A43E794E-2E0B-4BF4-A075-F5DC35ED8682}" name="Alamat Perusahaan" dataDxfId="12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purchasing@teknobersama.com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table" Target="../tables/table3.xml"/><Relationship Id="rId1" Type="http://schemas.openxmlformats.org/officeDocument/2006/relationships/table" Target="../tables/table2.xml"/><Relationship Id="rId4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B8640C-BAA2-4C01-8E7C-C14A77957CDD}">
  <dimension ref="A1:I56"/>
  <sheetViews>
    <sheetView view="pageBreakPreview" topLeftCell="B20" zoomScale="89" zoomScaleNormal="77" zoomScalePageLayoutView="118" workbookViewId="0">
      <selection activeCell="G35" sqref="G35"/>
    </sheetView>
  </sheetViews>
  <sheetFormatPr defaultRowHeight="14.4" x14ac:dyDescent="0.3"/>
  <cols>
    <col min="1" max="4" width="9.77734375" customWidth="1"/>
    <col min="5" max="5" width="4.77734375" customWidth="1"/>
    <col min="6" max="8" width="9.77734375" customWidth="1"/>
    <col min="9" max="9" width="14.77734375" customWidth="1"/>
  </cols>
  <sheetData>
    <row r="1" spans="1:9" ht="25.95" customHeight="1" x14ac:dyDescent="0.3">
      <c r="A1" s="91" t="s">
        <v>7</v>
      </c>
      <c r="B1" s="91"/>
      <c r="C1" s="91"/>
      <c r="G1" s="92" t="s">
        <v>14</v>
      </c>
      <c r="H1" s="92"/>
      <c r="I1" s="92"/>
    </row>
    <row r="2" spans="1:9" ht="25.95" customHeight="1" x14ac:dyDescent="0.3">
      <c r="A2" s="91"/>
      <c r="B2" s="91"/>
      <c r="C2" s="91"/>
      <c r="G2" s="92"/>
      <c r="H2" s="92"/>
      <c r="I2" s="92"/>
    </row>
    <row r="4" spans="1:9" ht="15.6" x14ac:dyDescent="0.3">
      <c r="A4" s="201" t="s">
        <v>8</v>
      </c>
    </row>
    <row r="5" spans="1:9" ht="15.6" x14ac:dyDescent="0.3">
      <c r="A5" s="201" t="s">
        <v>9</v>
      </c>
      <c r="G5" s="10" t="s">
        <v>13</v>
      </c>
      <c r="H5" s="93" t="s">
        <v>15</v>
      </c>
      <c r="I5" s="93"/>
    </row>
    <row r="6" spans="1:9" ht="18" x14ac:dyDescent="0.35">
      <c r="A6" s="202" t="s">
        <v>10</v>
      </c>
      <c r="B6" s="198"/>
      <c r="C6" s="166"/>
      <c r="D6" s="166"/>
      <c r="E6" s="166"/>
      <c r="F6" s="166"/>
      <c r="G6" s="10" t="s">
        <v>12</v>
      </c>
      <c r="H6" s="196">
        <f ca="1">NOW()</f>
        <v>46261.886473842591</v>
      </c>
      <c r="I6" s="196"/>
    </row>
    <row r="7" spans="1:9" ht="18" x14ac:dyDescent="0.35">
      <c r="A7" s="201" t="s">
        <v>11</v>
      </c>
      <c r="B7" s="166"/>
      <c r="C7" s="166"/>
      <c r="D7" s="166"/>
      <c r="E7" s="166"/>
      <c r="F7" s="166"/>
      <c r="G7" s="166"/>
      <c r="H7" s="166"/>
      <c r="I7" s="166"/>
    </row>
    <row r="9" spans="1:9" ht="24" customHeight="1" x14ac:dyDescent="0.3">
      <c r="A9" s="14" t="s">
        <v>19</v>
      </c>
      <c r="F9" s="13" t="s">
        <v>18</v>
      </c>
    </row>
    <row r="10" spans="1:9" ht="12" customHeight="1" x14ac:dyDescent="0.3"/>
    <row r="11" spans="1:9" x14ac:dyDescent="0.3">
      <c r="A11" s="11" t="str">
        <f>_xlfn.XLOOKUP($H$5,Tabel_Vendor[Nomor PO],Tabel_Vendor[Perusahaan Vendor]," - ")</f>
        <v>PT. BeSmart Indonesia Gemilang</v>
      </c>
      <c r="B11" s="9"/>
      <c r="C11" s="9"/>
      <c r="D11" s="9"/>
      <c r="F11" s="97" t="s">
        <v>72</v>
      </c>
      <c r="G11" s="97"/>
      <c r="H11" s="97"/>
      <c r="I11" s="97"/>
    </row>
    <row r="12" spans="1:9" x14ac:dyDescent="0.3">
      <c r="A12" s="11" t="str">
        <f>_xlfn.XLOOKUP($H$5,Tabel_Vendor[Nomor PO],Tabel_Vendor[Alamat Vendor]," - ")</f>
        <v>Jl. Merdeka Indonesia, Kota Tangerang</v>
      </c>
      <c r="B12" s="9"/>
      <c r="C12" s="9"/>
      <c r="D12" s="9"/>
      <c r="F12" s="97" t="str">
        <f>_xlfn.XLOOKUP(F11,Tabel_Shipping[Perusahaan Shipping],Tabel_Shipping[Alamat Shipping]," - ")</f>
        <v>Kawasan Industri Pulo Pasar Jati, Jatiuwung</v>
      </c>
      <c r="G12" s="97"/>
      <c r="H12" s="97"/>
      <c r="I12" s="97"/>
    </row>
    <row r="13" spans="1:9" x14ac:dyDescent="0.3">
      <c r="A13" s="8"/>
      <c r="B13" s="9"/>
      <c r="C13" s="9"/>
      <c r="D13" s="9"/>
      <c r="F13" s="8"/>
      <c r="G13" s="9"/>
      <c r="H13" s="9"/>
      <c r="I13" s="9"/>
    </row>
    <row r="14" spans="1:9" x14ac:dyDescent="0.3">
      <c r="A14" s="8"/>
      <c r="B14" s="9"/>
      <c r="C14" s="9"/>
      <c r="D14" s="9"/>
      <c r="F14" s="100" t="s">
        <v>92</v>
      </c>
      <c r="G14" s="100"/>
      <c r="H14" s="99" t="str">
        <f>_xlfn.XLOOKUP(F11,Tabel_Shipping[Perusahaan Shipping],Tabel_Shipping[UP Shipping]," - ")</f>
        <v>Rizky Faisal Rafi</v>
      </c>
      <c r="I14" s="99"/>
    </row>
    <row r="15" spans="1:9" x14ac:dyDescent="0.3">
      <c r="A15" s="22" t="s">
        <v>92</v>
      </c>
      <c r="B15" s="9" t="str">
        <f>_xlfn.XLOOKUP($H$5,Tabel_Vendor[Nomor PO],Tabel_Vendor[UP Vendor]," - ")</f>
        <v>Gibran Raka</v>
      </c>
      <c r="C15" s="9"/>
      <c r="D15" s="9"/>
      <c r="F15" s="100" t="s">
        <v>59</v>
      </c>
      <c r="G15" s="100"/>
      <c r="H15" s="99" t="str">
        <f>_xlfn.XLOOKUP(F11,Tabel_Shipping[Perusahaan Shipping],Tabel_Shipping[Telp Shipping]," - ")</f>
        <v>0895-1XXX-6XXX</v>
      </c>
      <c r="I15" s="99"/>
    </row>
    <row r="16" spans="1:9" x14ac:dyDescent="0.3">
      <c r="A16" s="22" t="s">
        <v>59</v>
      </c>
      <c r="B16" s="9" t="str">
        <f>_xlfn.XLOOKUP($H$5,Tabel_Vendor[Nomor PO],Tabel_Vendor[Telp]," - ")</f>
        <v>0812-XXXX-XXXX</v>
      </c>
      <c r="C16" s="9"/>
      <c r="D16" s="9"/>
      <c r="F16" s="100" t="s">
        <v>93</v>
      </c>
      <c r="G16" s="100"/>
      <c r="H16" s="98">
        <f>_xlfn.XLOOKUP($H$5,Tabel_Vendor[Nomor PO],Tabel_Vendor[Tanggal Diaharapkan]," - ")</f>
        <v>46264</v>
      </c>
      <c r="I16" s="98"/>
    </row>
    <row r="18" spans="1:9" ht="22.8" customHeight="1" x14ac:dyDescent="0.3">
      <c r="A18" s="15" t="s">
        <v>24</v>
      </c>
      <c r="B18" s="15" t="s">
        <v>20</v>
      </c>
      <c r="C18" s="82" t="s">
        <v>21</v>
      </c>
      <c r="D18" s="82"/>
      <c r="E18" s="82"/>
      <c r="F18" s="15" t="s">
        <v>2</v>
      </c>
      <c r="G18" s="82" t="s">
        <v>23</v>
      </c>
      <c r="H18" s="82"/>
      <c r="I18" s="15" t="s">
        <v>22</v>
      </c>
    </row>
    <row r="19" spans="1:9" ht="16.95" customHeight="1" x14ac:dyDescent="0.3">
      <c r="A19" s="16">
        <v>1</v>
      </c>
      <c r="B19" s="16" t="s">
        <v>34</v>
      </c>
      <c r="C19" s="84" t="str">
        <f>_xlfn.XLOOKUP(B19,'Master Data'!$B$3:$B$12,'Master Data'!$C$3:$C$12," ",0)</f>
        <v>Mouse Gaming</v>
      </c>
      <c r="D19" s="85"/>
      <c r="E19" s="86"/>
      <c r="F19" s="16">
        <v>30</v>
      </c>
      <c r="G19" s="83">
        <f>_xlfn.XLOOKUP(B19,'Master Data'!$B$3:$B$12,'Master Data'!$D$3:$D$12," ",0)</f>
        <v>40000</v>
      </c>
      <c r="H19" s="83"/>
      <c r="I19" s="19">
        <f>IFERROR(G19 * F19," ")</f>
        <v>1200000</v>
      </c>
    </row>
    <row r="20" spans="1:9" ht="16.95" customHeight="1" x14ac:dyDescent="0.3">
      <c r="A20" s="16">
        <v>2</v>
      </c>
      <c r="B20" s="17" t="s">
        <v>35</v>
      </c>
      <c r="C20" s="84" t="str">
        <f>_xlfn.XLOOKUP(B20,'Master Data'!$B$3:$B$12,'Master Data'!$C$3:$C$12," ",0)</f>
        <v>Keyboard</v>
      </c>
      <c r="D20" s="85"/>
      <c r="E20" s="86"/>
      <c r="F20" s="16">
        <v>12</v>
      </c>
      <c r="G20" s="83">
        <f>_xlfn.XLOOKUP(B20,'Master Data'!$B$3:$B$12,'Master Data'!$D$3:$D$12," ",0)</f>
        <v>60000</v>
      </c>
      <c r="H20" s="83"/>
      <c r="I20" s="19">
        <f t="shared" ref="I20:I26" si="0">IFERROR(G20 * F20," ")</f>
        <v>720000</v>
      </c>
    </row>
    <row r="21" spans="1:9" ht="16.95" customHeight="1" x14ac:dyDescent="0.3">
      <c r="A21" s="16">
        <v>3</v>
      </c>
      <c r="B21" s="17" t="s">
        <v>36</v>
      </c>
      <c r="C21" s="84" t="str">
        <f>_xlfn.XLOOKUP(B21,'Master Data'!$B$3:$B$12,'Master Data'!$C$3:$C$12," ",0)</f>
        <v>Harddisk Eksternal 512GB</v>
      </c>
      <c r="D21" s="85"/>
      <c r="E21" s="86"/>
      <c r="F21" s="16">
        <v>13</v>
      </c>
      <c r="G21" s="83">
        <f>_xlfn.XLOOKUP(B21,'Master Data'!$B$3:$B$12,'Master Data'!$D$3:$D$12," ",0)</f>
        <v>2000000</v>
      </c>
      <c r="H21" s="83"/>
      <c r="I21" s="19">
        <f t="shared" si="0"/>
        <v>26000000</v>
      </c>
    </row>
    <row r="22" spans="1:9" ht="16.95" customHeight="1" x14ac:dyDescent="0.3">
      <c r="A22" s="16">
        <v>4</v>
      </c>
      <c r="B22" s="17" t="s">
        <v>37</v>
      </c>
      <c r="C22" s="84" t="str">
        <f>_xlfn.XLOOKUP(B22,'Master Data'!$B$3:$B$12,'Master Data'!$C$3:$C$12," ",0)</f>
        <v>Monitor LED</v>
      </c>
      <c r="D22" s="85"/>
      <c r="E22" s="86"/>
      <c r="F22" s="16">
        <v>10</v>
      </c>
      <c r="G22" s="83">
        <f>_xlfn.XLOOKUP(B22,'Master Data'!$B$3:$B$12,'Master Data'!$D$3:$D$12," ",0)</f>
        <v>2000000</v>
      </c>
      <c r="H22" s="83"/>
      <c r="I22" s="19">
        <f t="shared" si="0"/>
        <v>20000000</v>
      </c>
    </row>
    <row r="23" spans="1:9" ht="16.95" customHeight="1" x14ac:dyDescent="0.3">
      <c r="A23" s="16">
        <v>5</v>
      </c>
      <c r="B23" s="17" t="s">
        <v>39</v>
      </c>
      <c r="C23" s="84" t="str">
        <f>_xlfn.XLOOKUP(B23,'Master Data'!$B$3:$B$12,'Master Data'!$C$3:$C$12," ",0)</f>
        <v>Kursi Gaming</v>
      </c>
      <c r="D23" s="85"/>
      <c r="E23" s="86"/>
      <c r="F23" s="16">
        <v>6</v>
      </c>
      <c r="G23" s="83">
        <f>_xlfn.XLOOKUP(B23,'Master Data'!$B$3:$B$12,'Master Data'!$D$3:$D$12," ",0)</f>
        <v>1500000</v>
      </c>
      <c r="H23" s="83"/>
      <c r="I23" s="19">
        <f t="shared" si="0"/>
        <v>9000000</v>
      </c>
    </row>
    <row r="24" spans="1:9" ht="16.95" customHeight="1" x14ac:dyDescent="0.3">
      <c r="A24" s="16">
        <v>6</v>
      </c>
      <c r="B24" s="17" t="s">
        <v>40</v>
      </c>
      <c r="C24" s="84" t="str">
        <f>_xlfn.XLOOKUP(B24,'Master Data'!$B$3:$B$12,'Master Data'!$C$3:$C$12," ",0)</f>
        <v>Headset Gaming</v>
      </c>
      <c r="D24" s="85"/>
      <c r="E24" s="86"/>
      <c r="F24" s="16">
        <v>9</v>
      </c>
      <c r="G24" s="83">
        <f>_xlfn.XLOOKUP(B24,'Master Data'!$B$3:$B$12,'Master Data'!$D$3:$D$12," ",0)</f>
        <v>40000</v>
      </c>
      <c r="H24" s="83"/>
      <c r="I24" s="19">
        <f t="shared" si="0"/>
        <v>360000</v>
      </c>
    </row>
    <row r="25" spans="1:9" ht="16.95" customHeight="1" x14ac:dyDescent="0.3">
      <c r="A25" s="16">
        <v>7</v>
      </c>
      <c r="B25" s="17" t="s">
        <v>43</v>
      </c>
      <c r="C25" s="84" t="str">
        <f>_xlfn.XLOOKUP(B25,'Master Data'!$B$3:$B$12,'Master Data'!$C$3:$C$12," ",0)</f>
        <v>Speaker Super Bass</v>
      </c>
      <c r="D25" s="85"/>
      <c r="E25" s="86"/>
      <c r="F25" s="16">
        <v>12</v>
      </c>
      <c r="G25" s="83">
        <f>_xlfn.XLOOKUP(B25,'Master Data'!$B$3:$B$12,'Master Data'!$D$3:$D$12," ",0)</f>
        <v>180000</v>
      </c>
      <c r="H25" s="83"/>
      <c r="I25" s="19">
        <f t="shared" si="0"/>
        <v>2160000</v>
      </c>
    </row>
    <row r="26" spans="1:9" ht="16.95" customHeight="1" x14ac:dyDescent="0.3">
      <c r="A26" s="16">
        <v>8</v>
      </c>
      <c r="B26" s="17" t="s">
        <v>42</v>
      </c>
      <c r="C26" s="84" t="str">
        <f>_xlfn.XLOOKUP(B26,'Master Data'!$B$3:$B$12,'Master Data'!$C$3:$C$12," ",0)</f>
        <v>Meja PC Gaming</v>
      </c>
      <c r="D26" s="85"/>
      <c r="E26" s="86"/>
      <c r="F26" s="16">
        <v>5</v>
      </c>
      <c r="G26" s="83">
        <f>_xlfn.XLOOKUP(B26,'Master Data'!$B$3:$B$12,'Master Data'!$D$3:$D$12," ",0)</f>
        <v>1200000</v>
      </c>
      <c r="H26" s="83"/>
      <c r="I26" s="19">
        <f t="shared" si="0"/>
        <v>6000000</v>
      </c>
    </row>
    <row r="27" spans="1:9" x14ac:dyDescent="0.3">
      <c r="G27" s="88" t="s">
        <v>54</v>
      </c>
      <c r="H27" s="88"/>
      <c r="I27" s="95">
        <f>SUM(I19:I26)</f>
        <v>65440000</v>
      </c>
    </row>
    <row r="28" spans="1:9" x14ac:dyDescent="0.3">
      <c r="A28" s="24" t="s">
        <v>25</v>
      </c>
      <c r="G28" s="88"/>
      <c r="H28" s="88"/>
      <c r="I28" s="95"/>
    </row>
    <row r="29" spans="1:9" x14ac:dyDescent="0.3">
      <c r="A29" s="4" t="s">
        <v>26</v>
      </c>
      <c r="G29" s="88" t="s">
        <v>32</v>
      </c>
      <c r="H29" s="88"/>
      <c r="I29" s="95">
        <f xml:space="preserve"> I27 * MID(G29,6,3)</f>
        <v>7198400</v>
      </c>
    </row>
    <row r="30" spans="1:9" ht="15" thickBot="1" x14ac:dyDescent="0.35">
      <c r="A30" s="4" t="s">
        <v>103</v>
      </c>
      <c r="B30" s="4"/>
      <c r="C30" s="4"/>
      <c r="D30" s="4"/>
      <c r="E30" s="4"/>
      <c r="G30" s="94"/>
      <c r="H30" s="94"/>
      <c r="I30" s="96"/>
    </row>
    <row r="31" spans="1:9" ht="15" thickTop="1" x14ac:dyDescent="0.3">
      <c r="A31" s="4" t="s">
        <v>33</v>
      </c>
      <c r="B31" s="5"/>
      <c r="C31" s="5"/>
      <c r="D31" s="5"/>
      <c r="E31" s="5"/>
      <c r="G31" s="87" t="s">
        <v>22</v>
      </c>
      <c r="H31" s="87"/>
      <c r="I31" s="89">
        <f>SUM(I27:I30)</f>
        <v>72638400</v>
      </c>
    </row>
    <row r="32" spans="1:9" ht="14.4" customHeight="1" x14ac:dyDescent="0.3">
      <c r="A32" s="4" t="s">
        <v>27</v>
      </c>
      <c r="B32" s="6"/>
      <c r="C32" s="6"/>
      <c r="D32" s="6"/>
      <c r="E32" s="6"/>
      <c r="G32" s="88"/>
      <c r="H32" s="88"/>
      <c r="I32" s="90"/>
    </row>
    <row r="33" spans="1:9" ht="14.4" customHeight="1" x14ac:dyDescent="0.3">
      <c r="B33" s="7"/>
      <c r="C33" s="7"/>
      <c r="D33" s="7"/>
      <c r="E33" s="7"/>
    </row>
    <row r="38" spans="1:9" x14ac:dyDescent="0.3">
      <c r="A38" s="81" t="s">
        <v>104</v>
      </c>
      <c r="B38" s="81"/>
      <c r="C38" s="81"/>
      <c r="D38" s="81" t="s">
        <v>105</v>
      </c>
      <c r="E38" s="81"/>
      <c r="F38" s="81"/>
      <c r="G38" s="81"/>
      <c r="H38" s="81" t="s">
        <v>106</v>
      </c>
      <c r="I38" s="81"/>
    </row>
    <row r="44" spans="1:9" x14ac:dyDescent="0.3">
      <c r="A44" s="81" t="s">
        <v>29</v>
      </c>
      <c r="B44" s="81"/>
      <c r="C44" s="81"/>
      <c r="D44" s="81" t="s">
        <v>30</v>
      </c>
      <c r="E44" s="81"/>
      <c r="F44" s="81"/>
      <c r="G44" s="81"/>
      <c r="H44" s="81" t="s">
        <v>28</v>
      </c>
      <c r="I44" s="81"/>
    </row>
    <row r="56" spans="5:7" x14ac:dyDescent="0.3">
      <c r="E56" s="185"/>
      <c r="F56" s="185"/>
      <c r="G56" s="185"/>
    </row>
  </sheetData>
  <mergeCells count="42">
    <mergeCell ref="A44:C44"/>
    <mergeCell ref="H44:I44"/>
    <mergeCell ref="D44:G44"/>
    <mergeCell ref="H16:I16"/>
    <mergeCell ref="H15:I15"/>
    <mergeCell ref="F16:G16"/>
    <mergeCell ref="F15:G15"/>
    <mergeCell ref="C21:E21"/>
    <mergeCell ref="C22:E22"/>
    <mergeCell ref="C23:E23"/>
    <mergeCell ref="C24:E24"/>
    <mergeCell ref="C25:E25"/>
    <mergeCell ref="G27:H28"/>
    <mergeCell ref="G29:H30"/>
    <mergeCell ref="I27:I28"/>
    <mergeCell ref="I29:I30"/>
    <mergeCell ref="G20:H20"/>
    <mergeCell ref="A1:C2"/>
    <mergeCell ref="G1:I2"/>
    <mergeCell ref="H6:I6"/>
    <mergeCell ref="H5:I5"/>
    <mergeCell ref="C19:E19"/>
    <mergeCell ref="F11:I11"/>
    <mergeCell ref="F12:I12"/>
    <mergeCell ref="F14:G14"/>
    <mergeCell ref="H14:I14"/>
    <mergeCell ref="A38:C38"/>
    <mergeCell ref="D38:G38"/>
    <mergeCell ref="H38:I38"/>
    <mergeCell ref="G18:H18"/>
    <mergeCell ref="G19:H19"/>
    <mergeCell ref="G21:H21"/>
    <mergeCell ref="G22:H22"/>
    <mergeCell ref="G23:H23"/>
    <mergeCell ref="G24:H24"/>
    <mergeCell ref="G25:H25"/>
    <mergeCell ref="C26:E26"/>
    <mergeCell ref="G31:H32"/>
    <mergeCell ref="I31:I32"/>
    <mergeCell ref="C18:E18"/>
    <mergeCell ref="C20:E20"/>
    <mergeCell ref="G26:H26"/>
  </mergeCells>
  <hyperlinks>
    <hyperlink ref="A6" r:id="rId1" xr:uid="{35052733-C65D-4DEF-B7B4-258BA3D75F8E}"/>
  </hyperlinks>
  <pageMargins left="0.7" right="0.7" top="0.75" bottom="0.75" header="0.3" footer="0.3"/>
  <pageSetup paperSize="9" scale="94" orientation="portrait" r:id="rId2"/>
  <drawing r:id="rId3"/>
  <extLst>
    <ext xmlns:x14="http://schemas.microsoft.com/office/spreadsheetml/2009/9/main" uri="{CCE6A557-97BC-4b89-ADB6-D9C93CAAB3DF}">
      <x14:dataValidations xmlns:xm="http://schemas.microsoft.com/office/excel/2006/main" disablePrompts="1" count="3">
        <x14:dataValidation type="list" allowBlank="1" showInputMessage="1" showErrorMessage="1" xr:uid="{3B3A1A03-14FC-4E32-9834-9934589E963F}">
          <x14:formula1>
            <xm:f>'Master Data'!$B$3:$B$12</xm:f>
          </x14:formula1>
          <xm:sqref>B19:B26</xm:sqref>
        </x14:dataValidation>
        <x14:dataValidation type="list" allowBlank="1" showInputMessage="1" showErrorMessage="1" xr:uid="{B42F0273-5E88-478E-9A90-A89631E83CF7}">
          <x14:formula1>
            <xm:f>'Master Data'!$G$3:$G$10</xm:f>
          </x14:formula1>
          <xm:sqref>H5:I5</xm:sqref>
        </x14:dataValidation>
        <x14:dataValidation type="list" allowBlank="1" showInputMessage="1" showErrorMessage="1" xr:uid="{A78A7F07-0530-4813-B5D2-D5536AED20FA}">
          <x14:formula1>
            <xm:f>'Master Data'!$G$17:$G$19</xm:f>
          </x14:formula1>
          <xm:sqref>F11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4A33A7-052F-420A-8858-891D1ACDB728}">
  <dimension ref="A2:I56"/>
  <sheetViews>
    <sheetView view="pageBreakPreview" zoomScale="84" zoomScaleNormal="86" zoomScaleSheetLayoutView="77" workbookViewId="0">
      <selection activeCell="G35" sqref="G35"/>
    </sheetView>
  </sheetViews>
  <sheetFormatPr defaultRowHeight="14.4" x14ac:dyDescent="0.3"/>
  <cols>
    <col min="2" max="2" width="4.77734375" customWidth="1"/>
    <col min="3" max="4" width="25.77734375" customWidth="1"/>
    <col min="5" max="5" width="6.77734375" customWidth="1"/>
    <col min="6" max="6" width="15.77734375" customWidth="1"/>
    <col min="7" max="7" width="25.77734375" customWidth="1"/>
    <col min="8" max="8" width="4.77734375" customWidth="1"/>
  </cols>
  <sheetData>
    <row r="2" spans="1:9" ht="28.8" x14ac:dyDescent="0.3">
      <c r="B2" s="102" t="s">
        <v>16</v>
      </c>
      <c r="C2" s="102"/>
      <c r="D2" s="102"/>
      <c r="E2" s="102"/>
      <c r="F2" s="102"/>
      <c r="G2" s="102"/>
      <c r="H2" s="102"/>
    </row>
    <row r="3" spans="1:9" x14ac:dyDescent="0.3">
      <c r="B3" s="103" t="s">
        <v>17</v>
      </c>
      <c r="C3" s="103"/>
      <c r="D3" s="103"/>
      <c r="E3" s="103"/>
      <c r="F3" s="103"/>
      <c r="G3" s="103"/>
      <c r="H3" s="103"/>
    </row>
    <row r="4" spans="1:9" ht="15" thickBot="1" x14ac:dyDescent="0.35">
      <c r="B4" s="103" t="s">
        <v>107</v>
      </c>
      <c r="C4" s="103"/>
      <c r="D4" s="103"/>
      <c r="E4" s="103"/>
      <c r="F4" s="103"/>
      <c r="G4" s="103"/>
      <c r="H4" s="103"/>
    </row>
    <row r="5" spans="1:9" ht="15" thickTop="1" x14ac:dyDescent="0.3">
      <c r="B5" s="25"/>
      <c r="C5" s="25"/>
      <c r="D5" s="25"/>
      <c r="E5" s="25"/>
      <c r="F5" s="25"/>
      <c r="G5" s="25"/>
      <c r="H5" s="25"/>
    </row>
    <row r="6" spans="1:9" ht="18" x14ac:dyDescent="0.35">
      <c r="A6" s="166"/>
      <c r="B6" s="203" t="s">
        <v>108</v>
      </c>
      <c r="C6" s="189"/>
      <c r="D6" s="189"/>
      <c r="E6" s="189"/>
      <c r="F6" s="189"/>
      <c r="G6" s="189"/>
      <c r="H6" s="189"/>
      <c r="I6" s="166"/>
    </row>
    <row r="7" spans="1:9" ht="18" x14ac:dyDescent="0.35">
      <c r="A7" s="166"/>
      <c r="B7" s="166"/>
      <c r="C7" s="166"/>
      <c r="D7" s="166"/>
      <c r="E7" s="166"/>
      <c r="F7" s="166"/>
      <c r="G7" s="166"/>
      <c r="H7" s="166"/>
      <c r="I7" s="166"/>
    </row>
    <row r="8" spans="1:9" x14ac:dyDescent="0.3">
      <c r="B8" s="26"/>
      <c r="C8" s="27" t="s">
        <v>109</v>
      </c>
      <c r="D8" s="57" t="s">
        <v>110</v>
      </c>
      <c r="E8" s="27"/>
      <c r="F8" s="27" t="s">
        <v>111</v>
      </c>
      <c r="G8" s="55" t="str">
        <f>_xlfn.XLOOKUP($D$8,Data_Tujuan[No Surat Jalan],Data_Tujuan[Nama Perusahaan]," ")</f>
        <v>PT. Tekno Bersama</v>
      </c>
    </row>
    <row r="9" spans="1:9" x14ac:dyDescent="0.3">
      <c r="B9" s="26"/>
      <c r="C9" s="27" t="s">
        <v>91</v>
      </c>
      <c r="D9" s="58">
        <f>_xlfn.XLOOKUP($D$8, Data_Tujuan[No Surat Jalan],Data_Tujuan[Tanggal]," ")</f>
        <v>46261</v>
      </c>
      <c r="G9" s="56" t="str" cm="1">
        <f t="array" ref="G9">_xlfn.XLOOKUP($D$8,Data_Tujuan[No Surat Jalan],_xlfn.TEXTBEFORE(Data_Tujuan[Alamat Perusahaan], ",")," ")</f>
        <v>Kawasan Industri Pulo Pasar Jati</v>
      </c>
    </row>
    <row r="10" spans="1:9" x14ac:dyDescent="0.3">
      <c r="B10" s="26"/>
      <c r="C10" s="27"/>
      <c r="D10" s="58" t="str">
        <f>_xlfn.XLOOKUP($D$8, Data_Tujuan[No Surat Jalan],Data_Tujuan[No. PO/Ref]," ")</f>
        <v>PO/TB/08/2026/045</v>
      </c>
      <c r="G10" s="56" t="str" cm="1">
        <f t="array" ref="G10">_xlfn.XLOOKUP($D$8,Data_Tujuan[No Surat Jalan],_xlfn.TEXTAFTER(Data_Tujuan[Alamat Perusahaan], ", "), " ")</f>
        <v>Jatiuwung</v>
      </c>
    </row>
    <row r="11" spans="1:9" x14ac:dyDescent="0.3">
      <c r="B11" s="26"/>
      <c r="C11" s="27" t="s">
        <v>113</v>
      </c>
      <c r="D11" s="58" t="str">
        <f>_xlfn.XLOOKUP($D$8, Data_Tujuan[No Surat Jalan],Data_Tujuan[Nama Supir]," ")</f>
        <v>Jaka Sembung</v>
      </c>
      <c r="G11" s="56"/>
    </row>
    <row r="12" spans="1:9" x14ac:dyDescent="0.3">
      <c r="B12" s="26"/>
      <c r="C12" s="27" t="s">
        <v>114</v>
      </c>
      <c r="D12" s="58" t="str">
        <f>_xlfn.XLOOKUP($D$8, Data_Tujuan[No Surat Jalan],Data_Tujuan[No. Polisi]," ")</f>
        <v>B 7979 AB</v>
      </c>
      <c r="F12" s="27" t="s">
        <v>92</v>
      </c>
      <c r="G12" s="56" t="str">
        <f>_xlfn.XLOOKUP($D$8,Data_Tujuan[No Surat Jalan],Data_Tujuan[Untuk Perhatian], " ")</f>
        <v>Rizky Faisal Rafi</v>
      </c>
    </row>
    <row r="14" spans="1:9" x14ac:dyDescent="0.3">
      <c r="B14" s="23" t="s">
        <v>115</v>
      </c>
    </row>
    <row r="15" spans="1:9" ht="15" thickBot="1" x14ac:dyDescent="0.35"/>
    <row r="16" spans="1:9" ht="29.4" thickBot="1" x14ac:dyDescent="0.35">
      <c r="B16" s="28" t="s">
        <v>5</v>
      </c>
      <c r="C16" s="29" t="s">
        <v>116</v>
      </c>
      <c r="D16" s="29" t="s">
        <v>117</v>
      </c>
      <c r="E16" s="28" t="s">
        <v>2</v>
      </c>
      <c r="F16" s="28" t="s">
        <v>6</v>
      </c>
      <c r="G16" s="104" t="s">
        <v>118</v>
      </c>
      <c r="H16" s="104"/>
    </row>
    <row r="17" spans="2:8" ht="15" thickBot="1" x14ac:dyDescent="0.35">
      <c r="B17" s="30">
        <v>1</v>
      </c>
      <c r="C17" s="32" t="str">
        <f>'1. Purchase Order'!B19</f>
        <v>A01</v>
      </c>
      <c r="D17" s="31" t="str">
        <f>VLOOKUP(C17,'1. Purchase Order'!$B$19:$I$26,2,FALSE)</f>
        <v>Mouse Gaming</v>
      </c>
      <c r="E17" s="30">
        <f>_xlfn.XLOOKUP(C17,'1. Purchase Order'!$B$19:$B$26,'1. Purchase Order'!$F$19:$F$26, " ",)</f>
        <v>30</v>
      </c>
      <c r="F17" s="30" t="s">
        <v>152</v>
      </c>
      <c r="G17" s="101" t="s">
        <v>119</v>
      </c>
      <c r="H17" s="101"/>
    </row>
    <row r="18" spans="2:8" ht="15" thickBot="1" x14ac:dyDescent="0.35">
      <c r="B18" s="30">
        <v>2</v>
      </c>
      <c r="C18" s="32" t="str">
        <f>'1. Purchase Order'!B20</f>
        <v>A02</v>
      </c>
      <c r="D18" s="31" t="str">
        <f>VLOOKUP(C18,'1. Purchase Order'!$B$19:$I$26,2)</f>
        <v>Keyboard</v>
      </c>
      <c r="E18" s="32">
        <f>_xlfn.XLOOKUP(C18,'1. Purchase Order'!$B$19:$B$26,'1. Purchase Order'!$F$19:$F$26, " ",)</f>
        <v>12</v>
      </c>
      <c r="F18" s="32" t="s">
        <v>152</v>
      </c>
      <c r="G18" s="101" t="s">
        <v>119</v>
      </c>
      <c r="H18" s="101"/>
    </row>
    <row r="19" spans="2:8" ht="15" thickBot="1" x14ac:dyDescent="0.35">
      <c r="B19" s="30">
        <v>3</v>
      </c>
      <c r="C19" s="32" t="str">
        <f>'1. Purchase Order'!B21</f>
        <v>A03</v>
      </c>
      <c r="D19" s="31" t="str">
        <f>VLOOKUP(C19,'1. Purchase Order'!$B$19:$I$26,2)</f>
        <v>Harddisk Eksternal 512GB</v>
      </c>
      <c r="E19" s="32">
        <f>_xlfn.XLOOKUP(C19,'1. Purchase Order'!$B$19:$B$26,'1. Purchase Order'!$F$19:$F$26, " ",)</f>
        <v>13</v>
      </c>
      <c r="F19" s="32" t="s">
        <v>152</v>
      </c>
      <c r="G19" s="101" t="s">
        <v>119</v>
      </c>
      <c r="H19" s="101"/>
    </row>
    <row r="20" spans="2:8" ht="15" thickBot="1" x14ac:dyDescent="0.35">
      <c r="B20" s="30">
        <v>4</v>
      </c>
      <c r="C20" s="32" t="str">
        <f>'1. Purchase Order'!B22</f>
        <v>A04</v>
      </c>
      <c r="D20" s="31" t="str">
        <f>VLOOKUP(C20,'1. Purchase Order'!$B$19:$I$26,2)</f>
        <v>Monitor LED</v>
      </c>
      <c r="E20" s="32">
        <f>_xlfn.XLOOKUP(C20,'1. Purchase Order'!$B$19:$B$26,'1. Purchase Order'!$F$19:$F$26, " ",)</f>
        <v>10</v>
      </c>
      <c r="F20" s="32" t="s">
        <v>152</v>
      </c>
      <c r="G20" s="101" t="s">
        <v>119</v>
      </c>
      <c r="H20" s="101"/>
    </row>
    <row r="21" spans="2:8" ht="15" thickBot="1" x14ac:dyDescent="0.35">
      <c r="B21" s="30">
        <v>5</v>
      </c>
      <c r="C21" s="32" t="str">
        <f>'1. Purchase Order'!B23</f>
        <v>A06</v>
      </c>
      <c r="D21" s="31" t="str">
        <f>VLOOKUP(C21,'1. Purchase Order'!$B$19:$I$26,2)</f>
        <v>Kursi Gaming</v>
      </c>
      <c r="E21" s="32">
        <f>_xlfn.XLOOKUP(C21,'1. Purchase Order'!$B$19:$B$26,'1. Purchase Order'!$F$19:$F$26, " ",)</f>
        <v>6</v>
      </c>
      <c r="F21" s="32" t="s">
        <v>152</v>
      </c>
      <c r="G21" s="101" t="s">
        <v>119</v>
      </c>
      <c r="H21" s="101"/>
    </row>
    <row r="22" spans="2:8" ht="15" thickBot="1" x14ac:dyDescent="0.35">
      <c r="B22" s="30">
        <v>6</v>
      </c>
      <c r="C22" s="32" t="str">
        <f>'1. Purchase Order'!B24</f>
        <v>A07</v>
      </c>
      <c r="D22" s="31" t="str">
        <f>VLOOKUP(C22,'1. Purchase Order'!$B$19:$I$26,2)</f>
        <v>Headset Gaming</v>
      </c>
      <c r="E22" s="32">
        <f>_xlfn.XLOOKUP(C22,'1. Purchase Order'!$B$19:$B$26,'1. Purchase Order'!$F$19:$F$26, " ",)</f>
        <v>9</v>
      </c>
      <c r="F22" s="32" t="s">
        <v>152</v>
      </c>
      <c r="G22" s="101" t="s">
        <v>119</v>
      </c>
      <c r="H22" s="101"/>
    </row>
    <row r="23" spans="2:8" ht="15" thickBot="1" x14ac:dyDescent="0.35">
      <c r="B23" s="30">
        <v>7</v>
      </c>
      <c r="C23" s="32" t="str">
        <f>'1. Purchase Order'!B25</f>
        <v>A10</v>
      </c>
      <c r="D23" s="31" t="str">
        <f>VLOOKUP(C23,'1. Purchase Order'!$B$19:$I$26,2)</f>
        <v>Speaker Super Bass</v>
      </c>
      <c r="E23" s="32">
        <f>_xlfn.XLOOKUP(C23,'1. Purchase Order'!$B$19:$B$26,'1. Purchase Order'!$F$19:$F$26, " ",)</f>
        <v>12</v>
      </c>
      <c r="F23" s="32" t="s">
        <v>152</v>
      </c>
      <c r="G23" s="101" t="s">
        <v>119</v>
      </c>
      <c r="H23" s="101"/>
    </row>
    <row r="26" spans="2:8" ht="18" x14ac:dyDescent="0.3">
      <c r="B26" s="105" t="s">
        <v>120</v>
      </c>
      <c r="C26" s="105"/>
      <c r="D26" s="105"/>
      <c r="E26" s="105"/>
      <c r="F26" s="105"/>
      <c r="G26" s="105"/>
      <c r="H26" s="105"/>
    </row>
    <row r="27" spans="2:8" ht="15.6" x14ac:dyDescent="0.3">
      <c r="B27" s="106" t="s">
        <v>121</v>
      </c>
      <c r="C27" s="106"/>
      <c r="D27" s="106"/>
      <c r="E27" s="106"/>
      <c r="F27" s="106"/>
      <c r="G27" s="106"/>
      <c r="H27" s="106"/>
    </row>
    <row r="28" spans="2:8" ht="15.6" x14ac:dyDescent="0.3">
      <c r="B28" s="106" t="s">
        <v>122</v>
      </c>
      <c r="C28" s="106"/>
      <c r="D28" s="106"/>
      <c r="E28" s="106"/>
      <c r="F28" s="106"/>
      <c r="G28" s="106"/>
      <c r="H28" s="106"/>
    </row>
    <row r="37" spans="3:7" x14ac:dyDescent="0.3">
      <c r="C37" s="1" t="s">
        <v>123</v>
      </c>
      <c r="D37" s="107" t="s">
        <v>124</v>
      </c>
      <c r="E37" s="107"/>
      <c r="F37" s="107"/>
      <c r="G37" s="1" t="s">
        <v>104</v>
      </c>
    </row>
    <row r="46" spans="3:7" x14ac:dyDescent="0.3">
      <c r="C46" s="1"/>
      <c r="D46" s="108" t="str">
        <f>"( " &amp; D11 &amp; " )"</f>
        <v>( Jaka Sembung )</v>
      </c>
      <c r="E46" s="108"/>
      <c r="F46" s="108"/>
      <c r="G46" s="1" t="s">
        <v>125</v>
      </c>
    </row>
    <row r="47" spans="3:7" x14ac:dyDescent="0.3">
      <c r="C47" s="33" t="s">
        <v>126</v>
      </c>
      <c r="D47" s="81" t="s">
        <v>127</v>
      </c>
      <c r="E47" s="81"/>
      <c r="F47" s="81"/>
      <c r="G47" s="33" t="s">
        <v>128</v>
      </c>
    </row>
    <row r="56" spans="5:7" x14ac:dyDescent="0.3">
      <c r="E56" s="185"/>
      <c r="F56" s="185"/>
      <c r="G56" s="185"/>
    </row>
  </sheetData>
  <mergeCells count="18">
    <mergeCell ref="D47:F47"/>
    <mergeCell ref="G18:H18"/>
    <mergeCell ref="G19:H19"/>
    <mergeCell ref="G20:H20"/>
    <mergeCell ref="G21:H21"/>
    <mergeCell ref="G22:H22"/>
    <mergeCell ref="G23:H23"/>
    <mergeCell ref="B26:H26"/>
    <mergeCell ref="B27:H27"/>
    <mergeCell ref="B28:H28"/>
    <mergeCell ref="D37:F37"/>
    <mergeCell ref="D46:F46"/>
    <mergeCell ref="G17:H17"/>
    <mergeCell ref="B2:H2"/>
    <mergeCell ref="B3:H3"/>
    <mergeCell ref="B4:H4"/>
    <mergeCell ref="B6:H6"/>
    <mergeCell ref="G16:H16"/>
  </mergeCells>
  <pageMargins left="0.7" right="0.7" top="0.75" bottom="0.75" header="0.3" footer="0.3"/>
  <pageSetup paperSize="9" scale="7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1BF84CF-290F-4E0F-B8C0-11575A04A206}">
          <x14:formula1>
            <xm:f>'Master Data'!$O$3:$O$5</xm:f>
          </x14:formula1>
          <xm:sqref>D8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B1A8DF-D7BB-4E4D-AF3F-9D60891B07B6}">
  <dimension ref="A1:J63"/>
  <sheetViews>
    <sheetView view="pageBreakPreview" topLeftCell="A14" zoomScale="57" zoomScaleNormal="77" zoomScaleSheetLayoutView="57" zoomScalePageLayoutView="112" workbookViewId="0">
      <selection activeCell="G35" sqref="G35"/>
    </sheetView>
  </sheetViews>
  <sheetFormatPr defaultRowHeight="14.4" x14ac:dyDescent="0.3"/>
  <cols>
    <col min="1" max="1" width="5.77734375" customWidth="1"/>
    <col min="2" max="8" width="12.77734375" customWidth="1"/>
    <col min="9" max="10" width="5.77734375" customWidth="1"/>
  </cols>
  <sheetData>
    <row r="1" spans="1:10" ht="25.8" x14ac:dyDescent="0.3">
      <c r="A1" s="113" t="s">
        <v>130</v>
      </c>
      <c r="B1" s="113"/>
      <c r="C1" s="113"/>
      <c r="D1" s="113"/>
      <c r="E1" s="113"/>
      <c r="F1" s="113"/>
      <c r="G1" s="113"/>
      <c r="H1" s="113"/>
      <c r="I1" s="113"/>
      <c r="J1" s="113"/>
    </row>
    <row r="2" spans="1:10" x14ac:dyDescent="0.3">
      <c r="A2" s="103" t="s">
        <v>17</v>
      </c>
      <c r="B2" s="103"/>
      <c r="C2" s="103"/>
      <c r="D2" s="103"/>
      <c r="E2" s="103"/>
      <c r="F2" s="103"/>
      <c r="G2" s="103"/>
      <c r="H2" s="103"/>
      <c r="I2" s="103"/>
      <c r="J2" s="103"/>
    </row>
    <row r="3" spans="1:10" x14ac:dyDescent="0.3">
      <c r="A3" s="103" t="s">
        <v>155</v>
      </c>
      <c r="B3" s="103"/>
      <c r="C3" s="103"/>
      <c r="D3" s="103"/>
      <c r="E3" s="103"/>
      <c r="F3" s="103"/>
      <c r="G3" s="103"/>
      <c r="H3" s="103"/>
      <c r="I3" s="103"/>
      <c r="J3" s="103"/>
    </row>
    <row r="6" spans="1:10" ht="18" x14ac:dyDescent="0.3">
      <c r="A6" s="188" t="s">
        <v>156</v>
      </c>
      <c r="B6" s="182"/>
      <c r="C6" s="188"/>
      <c r="D6" s="188"/>
      <c r="E6" s="188"/>
      <c r="F6" s="188"/>
      <c r="G6" s="188"/>
      <c r="H6" s="188"/>
      <c r="I6" s="188"/>
      <c r="J6" s="68"/>
    </row>
    <row r="7" spans="1:10" ht="18" x14ac:dyDescent="0.3">
      <c r="A7" s="189" t="s">
        <v>157</v>
      </c>
      <c r="B7" s="189"/>
      <c r="C7" s="189"/>
      <c r="D7" s="189"/>
      <c r="E7" s="189"/>
      <c r="F7" s="189"/>
      <c r="G7" s="189"/>
      <c r="H7" s="189"/>
      <c r="I7" s="189"/>
      <c r="J7" s="23"/>
    </row>
    <row r="8" spans="1:10" x14ac:dyDescent="0.3">
      <c r="A8" s="119"/>
      <c r="B8" s="119"/>
      <c r="C8" s="119"/>
      <c r="D8" s="119"/>
      <c r="E8" s="119"/>
      <c r="F8" s="119"/>
      <c r="G8" s="119"/>
      <c r="H8" s="119"/>
      <c r="I8" s="119"/>
    </row>
    <row r="9" spans="1:10" ht="56.4" customHeight="1" x14ac:dyDescent="0.3">
      <c r="A9" s="119" t="s">
        <v>197</v>
      </c>
      <c r="B9" s="119"/>
      <c r="C9" s="119"/>
      <c r="D9" s="119"/>
      <c r="E9" s="119"/>
      <c r="F9" s="119"/>
      <c r="G9" s="119"/>
      <c r="H9" s="119"/>
      <c r="I9" s="119"/>
      <c r="J9" s="69"/>
    </row>
    <row r="11" spans="1:10" x14ac:dyDescent="0.3">
      <c r="A11" s="70" t="s">
        <v>159</v>
      </c>
      <c r="B11" s="12" t="s">
        <v>158</v>
      </c>
    </row>
    <row r="12" spans="1:10" x14ac:dyDescent="0.3">
      <c r="B12" s="115" t="s">
        <v>160</v>
      </c>
      <c r="C12" s="115"/>
      <c r="D12" s="115"/>
      <c r="E12" s="71" t="s">
        <v>94</v>
      </c>
    </row>
    <row r="13" spans="1:10" x14ac:dyDescent="0.3">
      <c r="B13" s="115" t="s">
        <v>161</v>
      </c>
      <c r="C13" s="115"/>
      <c r="D13" s="115"/>
      <c r="E13" s="71" t="s">
        <v>192</v>
      </c>
    </row>
    <row r="14" spans="1:10" x14ac:dyDescent="0.3">
      <c r="B14" s="115" t="s">
        <v>162</v>
      </c>
      <c r="C14" s="115"/>
      <c r="D14" s="115"/>
      <c r="E14" s="71" t="s">
        <v>130</v>
      </c>
    </row>
    <row r="15" spans="1:10" x14ac:dyDescent="0.3">
      <c r="B15" s="115" t="s">
        <v>163</v>
      </c>
      <c r="C15" s="115"/>
      <c r="D15" s="115"/>
      <c r="E15" s="57" t="s">
        <v>17</v>
      </c>
    </row>
    <row r="16" spans="1:10" x14ac:dyDescent="0.3">
      <c r="E16" s="57"/>
    </row>
    <row r="17" spans="1:10" x14ac:dyDescent="0.3">
      <c r="A17" s="70" t="s">
        <v>164</v>
      </c>
      <c r="B17" s="12" t="s">
        <v>165</v>
      </c>
      <c r="E17" s="57"/>
    </row>
    <row r="18" spans="1:10" x14ac:dyDescent="0.3">
      <c r="B18" s="115" t="s">
        <v>160</v>
      </c>
      <c r="C18" s="115"/>
      <c r="D18" s="115"/>
      <c r="E18" s="71" t="s">
        <v>100</v>
      </c>
    </row>
    <row r="19" spans="1:10" x14ac:dyDescent="0.3">
      <c r="B19" s="115" t="s">
        <v>161</v>
      </c>
      <c r="C19" s="115"/>
      <c r="D19" s="115"/>
      <c r="E19" s="71" t="s">
        <v>193</v>
      </c>
    </row>
    <row r="20" spans="1:10" x14ac:dyDescent="0.3">
      <c r="B20" s="115" t="s">
        <v>162</v>
      </c>
      <c r="C20" s="115"/>
      <c r="D20" s="115"/>
      <c r="E20" s="71" t="s">
        <v>132</v>
      </c>
    </row>
    <row r="21" spans="1:10" x14ac:dyDescent="0.3">
      <c r="B21" s="115" t="s">
        <v>163</v>
      </c>
      <c r="C21" s="115"/>
      <c r="D21" s="115"/>
      <c r="E21" s="57" t="s">
        <v>74</v>
      </c>
    </row>
    <row r="23" spans="1:10" x14ac:dyDescent="0.3">
      <c r="A23" s="114" t="s">
        <v>166</v>
      </c>
      <c r="B23" s="114"/>
      <c r="C23" s="114"/>
      <c r="D23" s="114"/>
      <c r="E23" s="114"/>
      <c r="F23" s="114"/>
      <c r="G23" s="114"/>
      <c r="H23" s="114"/>
      <c r="I23" s="114"/>
      <c r="J23" s="64"/>
    </row>
    <row r="25" spans="1:10" x14ac:dyDescent="0.3">
      <c r="A25" s="65" t="s">
        <v>159</v>
      </c>
      <c r="B25" s="114" t="s">
        <v>167</v>
      </c>
      <c r="C25" s="114"/>
      <c r="D25" s="114"/>
      <c r="E25" s="114"/>
      <c r="F25" s="114"/>
      <c r="G25" s="114"/>
      <c r="H25" s="114"/>
      <c r="I25" s="114"/>
    </row>
    <row r="26" spans="1:10" x14ac:dyDescent="0.3">
      <c r="A26" s="3"/>
      <c r="B26" s="114" t="s">
        <v>168</v>
      </c>
      <c r="C26" s="114"/>
      <c r="D26" s="114"/>
      <c r="E26" s="114"/>
      <c r="F26" s="114"/>
      <c r="G26" s="114"/>
      <c r="H26" s="114"/>
      <c r="I26" s="114"/>
    </row>
    <row r="27" spans="1:10" x14ac:dyDescent="0.3">
      <c r="A27" s="3"/>
      <c r="B27" s="114" t="s">
        <v>169</v>
      </c>
      <c r="C27" s="114"/>
      <c r="D27" s="114"/>
      <c r="E27" s="114"/>
      <c r="F27" s="114"/>
      <c r="G27" s="114"/>
      <c r="H27" s="114"/>
      <c r="I27" s="114"/>
    </row>
    <row r="28" spans="1:10" x14ac:dyDescent="0.3">
      <c r="A28" s="3"/>
      <c r="B28" s="114" t="s">
        <v>194</v>
      </c>
      <c r="C28" s="114"/>
      <c r="D28" s="114"/>
      <c r="E28" s="114"/>
      <c r="F28" s="114"/>
      <c r="G28" s="114"/>
      <c r="H28" s="114"/>
      <c r="I28" s="114"/>
    </row>
    <row r="29" spans="1:10" x14ac:dyDescent="0.3">
      <c r="A29" s="3"/>
      <c r="B29" s="114" t="s">
        <v>195</v>
      </c>
      <c r="C29" s="114"/>
      <c r="D29" s="114"/>
      <c r="E29" s="114"/>
      <c r="F29" s="114"/>
      <c r="G29" s="114"/>
      <c r="H29" s="114"/>
      <c r="I29" s="114"/>
    </row>
    <row r="30" spans="1:10" x14ac:dyDescent="0.3">
      <c r="A30" s="3"/>
    </row>
    <row r="31" spans="1:10" x14ac:dyDescent="0.3">
      <c r="A31" s="65" t="s">
        <v>164</v>
      </c>
      <c r="B31" s="114" t="s">
        <v>170</v>
      </c>
      <c r="C31" s="114"/>
      <c r="D31" s="114"/>
      <c r="E31" s="114"/>
      <c r="F31" s="114"/>
      <c r="G31" s="114"/>
      <c r="H31" s="114"/>
      <c r="I31" s="114"/>
    </row>
    <row r="33" spans="1:9" x14ac:dyDescent="0.3">
      <c r="B33" s="20" t="s">
        <v>24</v>
      </c>
      <c r="C33" s="20" t="s">
        <v>20</v>
      </c>
      <c r="D33" s="116" t="s">
        <v>21</v>
      </c>
      <c r="E33" s="117"/>
      <c r="F33" s="117"/>
      <c r="G33" s="118"/>
      <c r="H33" s="20" t="s">
        <v>2</v>
      </c>
      <c r="I33" s="67"/>
    </row>
    <row r="34" spans="1:9" x14ac:dyDescent="0.3">
      <c r="B34" s="16">
        <v>1</v>
      </c>
      <c r="C34" s="16" t="s">
        <v>34</v>
      </c>
      <c r="D34" s="110" t="str">
        <f>_xlfn.XLOOKUP(C34,'Master Data'!$B$3:$B$12,'Master Data'!$C$3:$C$12," ",0)</f>
        <v>Mouse Gaming</v>
      </c>
      <c r="E34" s="111"/>
      <c r="F34" s="111"/>
      <c r="G34" s="112"/>
      <c r="H34" s="16" t="s">
        <v>171</v>
      </c>
      <c r="I34" s="66"/>
    </row>
    <row r="35" spans="1:9" x14ac:dyDescent="0.3">
      <c r="B35" s="16">
        <v>2</v>
      </c>
      <c r="C35" s="17" t="s">
        <v>35</v>
      </c>
      <c r="D35" s="110" t="str">
        <f>_xlfn.XLOOKUP(C35,'Master Data'!$B$3:$B$12,'Master Data'!$C$3:$C$12," ",0)</f>
        <v>Keyboard</v>
      </c>
      <c r="E35" s="111"/>
      <c r="F35" s="111"/>
      <c r="G35" s="112"/>
      <c r="H35" s="16" t="s">
        <v>172</v>
      </c>
      <c r="I35" s="66"/>
    </row>
    <row r="36" spans="1:9" x14ac:dyDescent="0.3">
      <c r="B36" s="16">
        <v>3</v>
      </c>
      <c r="C36" s="17" t="s">
        <v>36</v>
      </c>
      <c r="D36" s="110" t="str">
        <f>_xlfn.XLOOKUP(C36,'Master Data'!$B$3:$B$12,'Master Data'!$C$3:$C$12," ",0)</f>
        <v>Harddisk Eksternal 512GB</v>
      </c>
      <c r="E36" s="111"/>
      <c r="F36" s="111"/>
      <c r="G36" s="112"/>
      <c r="H36" s="16" t="s">
        <v>173</v>
      </c>
      <c r="I36" s="66"/>
    </row>
    <row r="37" spans="1:9" x14ac:dyDescent="0.3">
      <c r="B37" s="16">
        <v>4</v>
      </c>
      <c r="C37" s="17" t="s">
        <v>37</v>
      </c>
      <c r="D37" s="110" t="str">
        <f>_xlfn.XLOOKUP(C37,'Master Data'!$B$3:$B$12,'Master Data'!$C$3:$C$12," ",0)</f>
        <v>Monitor LED</v>
      </c>
      <c r="E37" s="111"/>
      <c r="F37" s="111"/>
      <c r="G37" s="112"/>
      <c r="H37" s="16" t="s">
        <v>176</v>
      </c>
      <c r="I37" s="66"/>
    </row>
    <row r="38" spans="1:9" x14ac:dyDescent="0.3">
      <c r="B38" s="16">
        <v>5</v>
      </c>
      <c r="C38" s="17" t="s">
        <v>39</v>
      </c>
      <c r="D38" s="110" t="str">
        <f>_xlfn.XLOOKUP(C38,'Master Data'!$B$3:$B$12,'Master Data'!$C$3:$C$12," ",0)</f>
        <v>Kursi Gaming</v>
      </c>
      <c r="E38" s="111"/>
      <c r="F38" s="111"/>
      <c r="G38" s="112"/>
      <c r="H38" s="16" t="s">
        <v>174</v>
      </c>
      <c r="I38" s="66"/>
    </row>
    <row r="39" spans="1:9" x14ac:dyDescent="0.3">
      <c r="B39" s="16">
        <v>6</v>
      </c>
      <c r="C39" s="17" t="s">
        <v>40</v>
      </c>
      <c r="D39" s="110" t="str">
        <f>_xlfn.XLOOKUP(C39,'Master Data'!$B$3:$B$12,'Master Data'!$C$3:$C$12," ",0)</f>
        <v>Headset Gaming</v>
      </c>
      <c r="E39" s="111"/>
      <c r="F39" s="111"/>
      <c r="G39" s="112"/>
      <c r="H39" s="16" t="s">
        <v>175</v>
      </c>
      <c r="I39" s="66"/>
    </row>
    <row r="40" spans="1:9" x14ac:dyDescent="0.3">
      <c r="B40" s="16">
        <v>7</v>
      </c>
      <c r="C40" s="17" t="s">
        <v>43</v>
      </c>
      <c r="D40" s="110" t="str">
        <f>_xlfn.XLOOKUP(C40,'Master Data'!$B$3:$B$12,'Master Data'!$C$3:$C$12," ",0)</f>
        <v>Speaker Super Bass</v>
      </c>
      <c r="E40" s="111"/>
      <c r="F40" s="111"/>
      <c r="G40" s="112"/>
      <c r="H40" s="16" t="s">
        <v>172</v>
      </c>
      <c r="I40" s="66"/>
    </row>
    <row r="41" spans="1:9" x14ac:dyDescent="0.3">
      <c r="B41" s="16">
        <v>8</v>
      </c>
      <c r="C41" s="17" t="s">
        <v>42</v>
      </c>
      <c r="D41" s="110" t="str">
        <f>_xlfn.XLOOKUP(C41,'Master Data'!$B$3:$B$12,'Master Data'!$C$3:$C$12," ",0)</f>
        <v>Meja PC Gaming</v>
      </c>
      <c r="E41" s="111"/>
      <c r="F41" s="111"/>
      <c r="G41" s="112"/>
      <c r="H41" s="16" t="s">
        <v>176</v>
      </c>
      <c r="I41" s="66"/>
    </row>
    <row r="43" spans="1:9" x14ac:dyDescent="0.3">
      <c r="A43" s="65" t="s">
        <v>177</v>
      </c>
      <c r="B43" s="114" t="s">
        <v>178</v>
      </c>
      <c r="C43" s="114"/>
      <c r="D43" s="114"/>
      <c r="E43" s="114"/>
      <c r="F43" s="114"/>
      <c r="G43" s="114"/>
      <c r="H43" s="114"/>
      <c r="I43" s="114"/>
    </row>
    <row r="44" spans="1:9" x14ac:dyDescent="0.3">
      <c r="A44" s="3"/>
      <c r="B44" s="114" t="s">
        <v>196</v>
      </c>
      <c r="C44" s="114"/>
      <c r="D44" s="114"/>
      <c r="E44" s="114"/>
      <c r="F44" s="114"/>
      <c r="G44" s="114"/>
      <c r="H44" s="114"/>
      <c r="I44" s="114"/>
    </row>
    <row r="45" spans="1:9" x14ac:dyDescent="0.3">
      <c r="A45" s="3"/>
      <c r="B45" s="114" t="s">
        <v>179</v>
      </c>
      <c r="C45" s="114"/>
      <c r="D45" s="114"/>
      <c r="E45" s="114"/>
      <c r="F45" s="114"/>
      <c r="G45" s="114"/>
      <c r="H45" s="114"/>
      <c r="I45" s="114"/>
    </row>
    <row r="46" spans="1:9" x14ac:dyDescent="0.3">
      <c r="A46" s="3"/>
    </row>
    <row r="47" spans="1:9" x14ac:dyDescent="0.3">
      <c r="A47" s="65" t="s">
        <v>180</v>
      </c>
      <c r="B47" s="114" t="s">
        <v>181</v>
      </c>
      <c r="C47" s="114"/>
      <c r="D47" s="114"/>
      <c r="E47" s="114"/>
      <c r="F47" s="114"/>
      <c r="G47" s="114"/>
      <c r="H47" s="114"/>
      <c r="I47" s="114"/>
    </row>
    <row r="48" spans="1:9" x14ac:dyDescent="0.3">
      <c r="B48" s="114" t="s">
        <v>182</v>
      </c>
      <c r="C48" s="114"/>
      <c r="D48" s="114"/>
      <c r="E48" s="114"/>
      <c r="F48" s="114"/>
      <c r="G48" s="114"/>
      <c r="H48" s="114"/>
      <c r="I48" s="114"/>
    </row>
    <row r="49" spans="1:9" x14ac:dyDescent="0.3">
      <c r="B49" s="114" t="s">
        <v>183</v>
      </c>
      <c r="C49" s="114"/>
      <c r="D49" s="114"/>
      <c r="E49" s="114"/>
      <c r="F49" s="114"/>
      <c r="G49" s="114"/>
      <c r="H49" s="114"/>
      <c r="I49" s="114"/>
    </row>
    <row r="51" spans="1:9" x14ac:dyDescent="0.3">
      <c r="A51" s="114" t="s">
        <v>184</v>
      </c>
      <c r="B51" s="114"/>
      <c r="C51" s="114"/>
      <c r="D51" s="114"/>
      <c r="E51" s="114"/>
      <c r="F51" s="114"/>
      <c r="G51" s="114"/>
      <c r="H51" s="114"/>
      <c r="I51" s="114"/>
    </row>
    <row r="52" spans="1:9" x14ac:dyDescent="0.3">
      <c r="A52" s="114" t="s">
        <v>185</v>
      </c>
      <c r="B52" s="114"/>
      <c r="C52" s="114"/>
      <c r="D52" s="114"/>
      <c r="E52" s="114"/>
      <c r="F52" s="114"/>
      <c r="G52" s="114"/>
      <c r="H52" s="114"/>
      <c r="I52" s="114"/>
    </row>
    <row r="55" spans="1:9" x14ac:dyDescent="0.3">
      <c r="A55" s="109" t="s">
        <v>188</v>
      </c>
      <c r="B55" s="109"/>
      <c r="C55" s="109"/>
      <c r="D55" s="109"/>
      <c r="F55" s="109" t="s">
        <v>189</v>
      </c>
      <c r="G55" s="109"/>
      <c r="H55" s="109"/>
      <c r="I55" s="109"/>
    </row>
    <row r="56" spans="1:9" x14ac:dyDescent="0.3">
      <c r="A56" s="109" t="s">
        <v>187</v>
      </c>
      <c r="B56" s="109"/>
      <c r="C56" s="109"/>
      <c r="D56" s="109"/>
      <c r="E56" s="185"/>
      <c r="F56" s="186" t="s">
        <v>190</v>
      </c>
      <c r="G56" s="186"/>
      <c r="H56" s="109"/>
      <c r="I56" s="109"/>
    </row>
    <row r="62" spans="1:9" x14ac:dyDescent="0.3">
      <c r="A62" s="109" t="s">
        <v>191</v>
      </c>
      <c r="B62" s="109"/>
      <c r="C62" s="109"/>
      <c r="D62" s="109"/>
      <c r="F62" s="109" t="s">
        <v>186</v>
      </c>
      <c r="G62" s="109"/>
      <c r="H62" s="109"/>
      <c r="I62" s="109"/>
    </row>
    <row r="63" spans="1:9" x14ac:dyDescent="0.3">
      <c r="A63" s="107" t="s">
        <v>147</v>
      </c>
      <c r="B63" s="107"/>
      <c r="C63" s="107"/>
      <c r="D63" s="107"/>
      <c r="F63" s="107" t="s">
        <v>16</v>
      </c>
      <c r="G63" s="107"/>
      <c r="H63" s="107"/>
      <c r="I63" s="107"/>
    </row>
  </sheetData>
  <mergeCells count="47">
    <mergeCell ref="A6:I6"/>
    <mergeCell ref="A7:I7"/>
    <mergeCell ref="A8:I8"/>
    <mergeCell ref="A23:I23"/>
    <mergeCell ref="A9:I9"/>
    <mergeCell ref="B12:D12"/>
    <mergeCell ref="B13:D13"/>
    <mergeCell ref="B14:D14"/>
    <mergeCell ref="B15:D15"/>
    <mergeCell ref="B18:D18"/>
    <mergeCell ref="B48:I48"/>
    <mergeCell ref="B49:I49"/>
    <mergeCell ref="A51:I51"/>
    <mergeCell ref="A52:I52"/>
    <mergeCell ref="D34:G34"/>
    <mergeCell ref="D35:G35"/>
    <mergeCell ref="D36:G36"/>
    <mergeCell ref="D37:G37"/>
    <mergeCell ref="D38:G38"/>
    <mergeCell ref="B43:I43"/>
    <mergeCell ref="B44:I44"/>
    <mergeCell ref="B45:I45"/>
    <mergeCell ref="B47:I47"/>
    <mergeCell ref="D39:G39"/>
    <mergeCell ref="D40:G40"/>
    <mergeCell ref="D41:G41"/>
    <mergeCell ref="A1:J1"/>
    <mergeCell ref="A2:J2"/>
    <mergeCell ref="A3:J3"/>
    <mergeCell ref="B25:I25"/>
    <mergeCell ref="B26:I26"/>
    <mergeCell ref="B27:I27"/>
    <mergeCell ref="B28:I28"/>
    <mergeCell ref="B29:I29"/>
    <mergeCell ref="B31:I31"/>
    <mergeCell ref="B19:D19"/>
    <mergeCell ref="B20:D20"/>
    <mergeCell ref="B21:D21"/>
    <mergeCell ref="D33:G33"/>
    <mergeCell ref="A55:D55"/>
    <mergeCell ref="F55:I55"/>
    <mergeCell ref="A62:D62"/>
    <mergeCell ref="F62:I62"/>
    <mergeCell ref="A63:D63"/>
    <mergeCell ref="F63:I63"/>
    <mergeCell ref="F56:I56"/>
    <mergeCell ref="A56:D56"/>
  </mergeCells>
  <pageMargins left="0.7" right="0.7" top="0.75" bottom="0.75" header="0.3" footer="0.3"/>
  <pageSetup paperSize="9" scale="81" orientation="portrait" r:id="rId1"/>
  <rowBreaks count="1" manualBreakCount="1">
    <brk id="46" max="8" man="1"/>
  </rowBreaks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93B10565-C2CF-4977-8499-501AA17C5B0E}">
          <x14:formula1>
            <xm:f>'Master Data'!$B$3:$B$12</xm:f>
          </x14:formula1>
          <xm:sqref>C34:C41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3552A4-15BD-4473-B7DF-89FA40328F28}">
  <dimension ref="A2:J56"/>
  <sheetViews>
    <sheetView view="pageBreakPreview" topLeftCell="A21" zoomScale="60" zoomScaleNormal="77" workbookViewId="0">
      <selection activeCell="G35" sqref="G35"/>
    </sheetView>
  </sheetViews>
  <sheetFormatPr defaultRowHeight="14.4" x14ac:dyDescent="0.3"/>
  <cols>
    <col min="2" max="5" width="12.77734375" customWidth="1"/>
    <col min="6" max="6" width="10.77734375" customWidth="1"/>
    <col min="7" max="10" width="12.77734375" customWidth="1"/>
  </cols>
  <sheetData>
    <row r="2" spans="1:10" ht="27" customHeight="1" x14ac:dyDescent="0.3">
      <c r="B2" s="126" t="s">
        <v>132</v>
      </c>
      <c r="C2" s="126"/>
      <c r="D2" s="126"/>
      <c r="E2" s="126"/>
      <c r="F2" s="64"/>
      <c r="G2" s="207" t="s">
        <v>198</v>
      </c>
      <c r="H2" s="207"/>
      <c r="I2" s="207"/>
      <c r="J2" s="207"/>
    </row>
    <row r="4" spans="1:10" ht="18" customHeight="1" x14ac:dyDescent="0.3">
      <c r="B4" s="138" t="s">
        <v>74</v>
      </c>
      <c r="C4" s="64"/>
      <c r="D4" s="64"/>
      <c r="E4" s="64"/>
      <c r="G4" s="134" t="s">
        <v>217</v>
      </c>
      <c r="H4" s="134"/>
      <c r="I4" s="135" t="s">
        <v>210</v>
      </c>
      <c r="J4" s="135"/>
    </row>
    <row r="5" spans="1:10" ht="18" customHeight="1" x14ac:dyDescent="0.3">
      <c r="B5" s="139" t="s">
        <v>199</v>
      </c>
      <c r="C5" s="2"/>
      <c r="D5" s="2"/>
      <c r="E5" s="2"/>
      <c r="G5" s="134" t="s">
        <v>12</v>
      </c>
      <c r="H5" s="134"/>
      <c r="I5" s="136">
        <v>46265</v>
      </c>
      <c r="J5" s="135"/>
    </row>
    <row r="6" spans="1:10" ht="18" x14ac:dyDescent="0.35">
      <c r="A6" s="166"/>
      <c r="B6" s="198"/>
      <c r="C6" s="166"/>
      <c r="D6" s="166"/>
      <c r="E6" s="166"/>
      <c r="F6" s="166"/>
      <c r="G6" s="166"/>
      <c r="H6" s="166"/>
      <c r="I6" s="166"/>
    </row>
    <row r="7" spans="1:10" ht="18" x14ac:dyDescent="0.35">
      <c r="A7" s="166"/>
      <c r="B7" s="166"/>
      <c r="C7" s="166"/>
      <c r="D7" s="166"/>
      <c r="E7" s="166"/>
      <c r="F7" s="166"/>
      <c r="G7" s="166"/>
      <c r="H7" s="166"/>
      <c r="I7" s="166"/>
    </row>
    <row r="8" spans="1:10" x14ac:dyDescent="0.3">
      <c r="B8" s="137" t="s">
        <v>200</v>
      </c>
      <c r="G8" s="137" t="s">
        <v>201</v>
      </c>
    </row>
    <row r="9" spans="1:10" ht="15" thickBot="1" x14ac:dyDescent="0.35">
      <c r="B9" s="60"/>
      <c r="C9" s="60"/>
      <c r="E9" s="60"/>
    </row>
    <row r="10" spans="1:10" x14ac:dyDescent="0.3">
      <c r="B10" s="157"/>
      <c r="C10" s="147"/>
      <c r="D10" s="147"/>
      <c r="E10" s="148"/>
      <c r="G10" s="145"/>
      <c r="H10" s="146"/>
      <c r="I10" s="147"/>
      <c r="J10" s="148"/>
    </row>
    <row r="11" spans="1:10" x14ac:dyDescent="0.3">
      <c r="B11" s="158" t="s">
        <v>130</v>
      </c>
      <c r="C11" s="143"/>
      <c r="D11" s="143"/>
      <c r="E11" s="150"/>
      <c r="G11" s="149" t="s">
        <v>211</v>
      </c>
      <c r="H11" s="140"/>
      <c r="I11" s="141" t="s">
        <v>214</v>
      </c>
      <c r="J11" s="150"/>
    </row>
    <row r="12" spans="1:10" x14ac:dyDescent="0.3">
      <c r="B12" s="159" t="str">
        <f>_xlfn.XLOOKUP(B11,Tabel_Vendor[Perusahaan Vendor],Tabel_Vendor[Alamat Vendor]," ")</f>
        <v>Jl. Merdeka Indonesia, Kota Tangerang</v>
      </c>
      <c r="C12" s="143"/>
      <c r="D12" s="143"/>
      <c r="E12" s="150"/>
      <c r="G12" s="151"/>
      <c r="H12" s="142"/>
      <c r="I12" s="143"/>
      <c r="J12" s="150"/>
    </row>
    <row r="13" spans="1:10" x14ac:dyDescent="0.3">
      <c r="B13" s="159"/>
      <c r="C13" s="143"/>
      <c r="D13" s="143"/>
      <c r="E13" s="150"/>
      <c r="G13" s="149" t="s">
        <v>212</v>
      </c>
      <c r="H13" s="140"/>
      <c r="I13" s="144">
        <v>46265</v>
      </c>
      <c r="J13" s="152"/>
    </row>
    <row r="14" spans="1:10" x14ac:dyDescent="0.3">
      <c r="B14" s="159"/>
      <c r="C14" s="143"/>
      <c r="D14" s="143"/>
      <c r="E14" s="150"/>
      <c r="G14" s="151"/>
      <c r="H14" s="142"/>
      <c r="I14" s="143"/>
      <c r="J14" s="150"/>
    </row>
    <row r="15" spans="1:10" x14ac:dyDescent="0.3">
      <c r="B15" s="160" t="s">
        <v>92</v>
      </c>
      <c r="C15" s="141" t="s">
        <v>215</v>
      </c>
      <c r="D15" s="143"/>
      <c r="E15" s="150"/>
      <c r="G15" s="149" t="s">
        <v>213</v>
      </c>
      <c r="H15" s="140"/>
      <c r="I15" s="141" t="s">
        <v>15</v>
      </c>
      <c r="J15" s="150"/>
    </row>
    <row r="16" spans="1:10" ht="15" thickBot="1" x14ac:dyDescent="0.35">
      <c r="B16" s="161"/>
      <c r="C16" s="155"/>
      <c r="D16" s="155"/>
      <c r="E16" s="156"/>
      <c r="G16" s="153"/>
      <c r="H16" s="154"/>
      <c r="I16" s="155"/>
      <c r="J16" s="156"/>
    </row>
    <row r="19" spans="2:10" s="64" customFormat="1" ht="16.95" customHeight="1" x14ac:dyDescent="0.3">
      <c r="B19" s="114" t="s">
        <v>216</v>
      </c>
      <c r="C19" s="114"/>
      <c r="D19" s="114"/>
      <c r="E19" s="114"/>
      <c r="F19" s="114"/>
      <c r="G19" s="114"/>
      <c r="H19" s="114"/>
      <c r="I19" s="114"/>
      <c r="J19" s="114"/>
    </row>
    <row r="21" spans="2:10" ht="19.95" customHeight="1" x14ac:dyDescent="0.3">
      <c r="B21" s="162" t="s">
        <v>24</v>
      </c>
      <c r="C21" s="162" t="s">
        <v>20</v>
      </c>
      <c r="D21" s="163" t="s">
        <v>21</v>
      </c>
      <c r="E21" s="163"/>
      <c r="F21" s="163"/>
      <c r="G21" s="162" t="s">
        <v>2</v>
      </c>
      <c r="H21" s="162" t="s">
        <v>202</v>
      </c>
      <c r="I21" s="163" t="s">
        <v>203</v>
      </c>
      <c r="J21" s="163"/>
    </row>
    <row r="22" spans="2:10" ht="19.95" customHeight="1" x14ac:dyDescent="0.3">
      <c r="B22" s="164">
        <v>1</v>
      </c>
      <c r="C22" s="164" t="s">
        <v>37</v>
      </c>
      <c r="D22" s="165" t="str">
        <f>_xlfn.XLOOKUP(C22,'Master Data'!B3:B12,'Master Data'!C3:C12," ")</f>
        <v>Monitor LED</v>
      </c>
      <c r="E22" s="165"/>
      <c r="F22" s="165"/>
      <c r="G22" s="164">
        <v>5</v>
      </c>
      <c r="H22" s="164" t="s">
        <v>152</v>
      </c>
      <c r="I22" s="165" t="s">
        <v>218</v>
      </c>
      <c r="J22" s="165"/>
    </row>
    <row r="24" spans="2:10" ht="15" thickBot="1" x14ac:dyDescent="0.35"/>
    <row r="25" spans="2:10" x14ac:dyDescent="0.3">
      <c r="B25" s="72"/>
      <c r="C25" s="73"/>
      <c r="D25" s="73"/>
      <c r="E25" s="73"/>
      <c r="F25" s="73"/>
      <c r="G25" s="73"/>
      <c r="H25" s="73"/>
      <c r="I25" s="73"/>
      <c r="J25" s="74"/>
    </row>
    <row r="26" spans="2:10" x14ac:dyDescent="0.3">
      <c r="B26" s="123" t="s">
        <v>204</v>
      </c>
      <c r="C26" s="124"/>
      <c r="D26" s="124"/>
      <c r="E26" s="124"/>
      <c r="F26" s="124"/>
      <c r="G26" s="124"/>
      <c r="H26" s="124"/>
      <c r="I26" s="124"/>
      <c r="J26" s="125"/>
    </row>
    <row r="27" spans="2:10" x14ac:dyDescent="0.3">
      <c r="B27" s="78"/>
      <c r="C27" s="79"/>
      <c r="D27" s="79"/>
      <c r="E27" s="79"/>
      <c r="F27" s="79"/>
      <c r="G27" s="79"/>
      <c r="H27" s="79"/>
      <c r="I27" s="79"/>
      <c r="J27" s="80"/>
    </row>
    <row r="28" spans="2:10" x14ac:dyDescent="0.3">
      <c r="B28" s="120" t="s">
        <v>205</v>
      </c>
      <c r="C28" s="121"/>
      <c r="D28" s="121"/>
      <c r="E28" s="121"/>
      <c r="F28" s="121"/>
      <c r="G28" s="121"/>
      <c r="H28" s="121"/>
      <c r="I28" s="121"/>
      <c r="J28" s="122"/>
    </row>
    <row r="29" spans="2:10" x14ac:dyDescent="0.3">
      <c r="B29" s="120" t="s">
        <v>206</v>
      </c>
      <c r="C29" s="121"/>
      <c r="D29" s="121"/>
      <c r="E29" s="121"/>
      <c r="F29" s="121"/>
      <c r="G29" s="121"/>
      <c r="H29" s="121"/>
      <c r="I29" s="121"/>
      <c r="J29" s="122"/>
    </row>
    <row r="30" spans="2:10" ht="15" thickBot="1" x14ac:dyDescent="0.35">
      <c r="B30" s="75"/>
      <c r="C30" s="76"/>
      <c r="D30" s="76"/>
      <c r="E30" s="76"/>
      <c r="F30" s="76"/>
      <c r="G30" s="76"/>
      <c r="H30" s="76"/>
      <c r="I30" s="76"/>
      <c r="J30" s="77"/>
    </row>
    <row r="46" spans="2:10" ht="18" customHeight="1" x14ac:dyDescent="0.3">
      <c r="B46" s="103" t="s">
        <v>207</v>
      </c>
      <c r="C46" s="103"/>
      <c r="D46" s="103"/>
      <c r="E46" s="107" t="s">
        <v>124</v>
      </c>
      <c r="F46" s="107"/>
      <c r="G46" s="107"/>
      <c r="H46" s="103" t="s">
        <v>123</v>
      </c>
      <c r="I46" s="103"/>
      <c r="J46" s="103"/>
    </row>
    <row r="55" spans="2:10" ht="18" customHeight="1" x14ac:dyDescent="0.3">
      <c r="B55" s="103" t="s">
        <v>219</v>
      </c>
      <c r="C55" s="103"/>
      <c r="D55" s="103"/>
      <c r="E55" s="107" t="s">
        <v>219</v>
      </c>
      <c r="F55" s="107"/>
      <c r="G55" s="107"/>
      <c r="H55" s="103" t="s">
        <v>219</v>
      </c>
      <c r="I55" s="103"/>
      <c r="J55" s="103"/>
    </row>
    <row r="56" spans="2:10" ht="18" customHeight="1" x14ac:dyDescent="0.3">
      <c r="B56" s="81" t="s">
        <v>208</v>
      </c>
      <c r="C56" s="81"/>
      <c r="D56" s="81"/>
      <c r="E56" s="109" t="s">
        <v>127</v>
      </c>
      <c r="F56" s="109"/>
      <c r="G56" s="109"/>
      <c r="H56" s="81" t="s">
        <v>209</v>
      </c>
      <c r="I56" s="81"/>
      <c r="J56" s="81"/>
    </row>
  </sheetData>
  <mergeCells count="27">
    <mergeCell ref="B55:D55"/>
    <mergeCell ref="B56:D56"/>
    <mergeCell ref="H55:J55"/>
    <mergeCell ref="H56:J56"/>
    <mergeCell ref="E55:G55"/>
    <mergeCell ref="E56:G56"/>
    <mergeCell ref="D22:F22"/>
    <mergeCell ref="I22:J22"/>
    <mergeCell ref="B2:E2"/>
    <mergeCell ref="G2:J2"/>
    <mergeCell ref="I21:J21"/>
    <mergeCell ref="D21:F21"/>
    <mergeCell ref="I4:J4"/>
    <mergeCell ref="I5:J5"/>
    <mergeCell ref="G5:H5"/>
    <mergeCell ref="G4:H4"/>
    <mergeCell ref="G11:H11"/>
    <mergeCell ref="G13:H13"/>
    <mergeCell ref="G15:H15"/>
    <mergeCell ref="I13:J13"/>
    <mergeCell ref="B19:J19"/>
    <mergeCell ref="B28:J28"/>
    <mergeCell ref="B29:J29"/>
    <mergeCell ref="B26:J26"/>
    <mergeCell ref="B46:D46"/>
    <mergeCell ref="H46:J46"/>
    <mergeCell ref="E46:G46"/>
  </mergeCells>
  <pageMargins left="0.7" right="0.7" top="0.75" bottom="0.75" header="0.3" footer="0.3"/>
  <pageSetup paperSize="9" scale="77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E1F32C-1F3E-43DC-AD33-7593B91C4D02}">
  <dimension ref="A1:J56"/>
  <sheetViews>
    <sheetView view="pageBreakPreview" zoomScale="50" zoomScaleNormal="71" zoomScaleSheetLayoutView="77" workbookViewId="0">
      <selection activeCell="G35" sqref="G35"/>
    </sheetView>
  </sheetViews>
  <sheetFormatPr defaultRowHeight="14.4" x14ac:dyDescent="0.3"/>
  <cols>
    <col min="2" max="4" width="20.77734375" customWidth="1"/>
    <col min="5" max="5" width="25.88671875" customWidth="1"/>
    <col min="6" max="6" width="20.6640625" customWidth="1"/>
    <col min="7" max="8" width="20.77734375" customWidth="1"/>
    <col min="9" max="9" width="25" customWidth="1"/>
    <col min="10" max="10" width="20.77734375" customWidth="1"/>
  </cols>
  <sheetData>
    <row r="1" spans="1:10" ht="15" thickBot="1" x14ac:dyDescent="0.35"/>
    <row r="2" spans="1:10" x14ac:dyDescent="0.3">
      <c r="B2" s="34"/>
      <c r="C2" s="35"/>
      <c r="D2" s="35"/>
      <c r="E2" s="35"/>
      <c r="F2" s="35"/>
      <c r="G2" s="35"/>
      <c r="H2" s="35"/>
      <c r="I2" s="35"/>
      <c r="J2" s="36"/>
    </row>
    <row r="3" spans="1:10" ht="24.6" x14ac:dyDescent="0.4">
      <c r="B3" s="37"/>
      <c r="C3" s="129" t="s">
        <v>129</v>
      </c>
      <c r="D3" s="129"/>
      <c r="E3" s="129"/>
      <c r="F3" s="129"/>
      <c r="G3" s="129"/>
      <c r="H3" s="129"/>
      <c r="I3" s="129"/>
      <c r="J3" s="38"/>
    </row>
    <row r="4" spans="1:10" ht="22.8" customHeight="1" x14ac:dyDescent="0.3">
      <c r="B4" s="37"/>
      <c r="C4" s="59"/>
      <c r="D4" s="59"/>
      <c r="E4" s="59"/>
      <c r="F4" s="59"/>
      <c r="G4" s="59"/>
      <c r="H4" s="59"/>
      <c r="I4" s="59"/>
      <c r="J4" s="38"/>
    </row>
    <row r="5" spans="1:10" ht="18" customHeight="1" x14ac:dyDescent="0.3">
      <c r="B5" s="37"/>
      <c r="C5" s="59"/>
      <c r="D5" s="59"/>
      <c r="E5" s="59"/>
      <c r="F5" s="59"/>
      <c r="G5" s="59"/>
      <c r="H5" s="187" t="s">
        <v>220</v>
      </c>
      <c r="I5" s="187"/>
      <c r="J5" s="38"/>
    </row>
    <row r="6" spans="1:10" ht="18" customHeight="1" x14ac:dyDescent="0.35">
      <c r="A6" s="166"/>
      <c r="B6" s="197"/>
      <c r="C6" s="194" t="s">
        <v>16</v>
      </c>
      <c r="D6" s="194"/>
      <c r="E6" s="194"/>
      <c r="F6" s="195"/>
      <c r="G6" s="195"/>
      <c r="H6" s="187" t="s">
        <v>131</v>
      </c>
      <c r="I6" s="187"/>
      <c r="J6" s="38"/>
    </row>
    <row r="7" spans="1:10" ht="18" customHeight="1" x14ac:dyDescent="0.35">
      <c r="A7" s="166"/>
      <c r="B7" s="193"/>
      <c r="C7" s="194" t="str">
        <f>_xlfn.TEXTBEFORE(_xlfn.XLOOKUP(C6,'Master Data'!H3:H8,'Master Data'!I3:I8," "),",")</f>
        <v>Jl. Merdeka Indonesia</v>
      </c>
      <c r="D7" s="194"/>
      <c r="E7" s="194"/>
      <c r="F7" s="195"/>
      <c r="G7" s="195"/>
      <c r="H7" s="204" t="s">
        <v>71</v>
      </c>
      <c r="I7" s="204"/>
      <c r="J7" s="38"/>
    </row>
    <row r="8" spans="1:10" ht="18" customHeight="1" x14ac:dyDescent="0.3">
      <c r="B8" s="37"/>
      <c r="C8" s="131" t="str">
        <f>UPPER(_xlfn.TEXTAFTER(_xlfn.XLOOKUP(C6,'Master Data'!H3:H8,'Master Data'!I3:I8," "),", "))</f>
        <v>KOTA TANGERANG</v>
      </c>
      <c r="D8" s="131"/>
      <c r="E8" s="131"/>
      <c r="F8" s="59"/>
      <c r="G8" s="59"/>
      <c r="H8" s="130" t="str">
        <f>VLOOKUP(H7,'Master Data'!G17:J18,2,FALSE)</f>
        <v>Kawasan Industri Pulo Gadung Blok A1, Cikupa</v>
      </c>
      <c r="I8" s="130"/>
      <c r="J8" s="38"/>
    </row>
    <row r="9" spans="1:10" ht="18" customHeight="1" x14ac:dyDescent="0.3">
      <c r="B9" s="37"/>
      <c r="C9" s="131" t="str">
        <f>(_xlfn.XLOOKUP(C6,'Master Data'!H3:H8,'Master Data'!K3:K8," "))</f>
        <v>0812-XXXX-XXXX</v>
      </c>
      <c r="D9" s="131"/>
      <c r="E9" s="131"/>
      <c r="F9" s="59"/>
      <c r="G9" s="59"/>
      <c r="H9" s="130" t="str">
        <f>VLOOKUP(H7,'Master Data'!G17:J18,4,FALSE)</f>
        <v>0812-XXXX-6XXX</v>
      </c>
      <c r="I9" s="130"/>
      <c r="J9" s="38"/>
    </row>
    <row r="10" spans="1:10" x14ac:dyDescent="0.3">
      <c r="B10" s="37"/>
      <c r="C10" s="59"/>
      <c r="D10" s="59"/>
      <c r="E10" s="59"/>
      <c r="F10" s="59"/>
      <c r="G10" s="59"/>
      <c r="H10" s="60"/>
      <c r="I10" s="60"/>
      <c r="J10" s="38"/>
    </row>
    <row r="11" spans="1:10" x14ac:dyDescent="0.3">
      <c r="B11" s="37"/>
      <c r="C11" s="206" t="s">
        <v>133</v>
      </c>
      <c r="D11" s="206"/>
      <c r="E11" s="205" t="s">
        <v>226</v>
      </c>
      <c r="F11" s="59"/>
      <c r="G11" s="59"/>
      <c r="H11" s="133"/>
      <c r="I11" s="133"/>
      <c r="J11" s="38"/>
    </row>
    <row r="12" spans="1:10" x14ac:dyDescent="0.3">
      <c r="B12" s="37"/>
      <c r="C12" s="59"/>
      <c r="D12" s="59"/>
      <c r="E12" s="59"/>
      <c r="F12" s="59"/>
      <c r="G12" s="59"/>
      <c r="H12" s="59"/>
      <c r="I12" s="59"/>
      <c r="J12" s="38"/>
    </row>
    <row r="13" spans="1:10" ht="18" customHeight="1" thickBot="1" x14ac:dyDescent="0.35">
      <c r="B13" s="37"/>
      <c r="C13" s="45" t="s">
        <v>5</v>
      </c>
      <c r="D13" s="46" t="s">
        <v>0</v>
      </c>
      <c r="E13" s="46" t="s">
        <v>134</v>
      </c>
      <c r="F13" s="46" t="s">
        <v>135</v>
      </c>
      <c r="G13" s="46" t="s">
        <v>136</v>
      </c>
      <c r="H13" s="46" t="s">
        <v>137</v>
      </c>
      <c r="I13" s="47" t="s">
        <v>4</v>
      </c>
      <c r="J13" s="38"/>
    </row>
    <row r="14" spans="1:10" ht="18" customHeight="1" thickBot="1" x14ac:dyDescent="0.35">
      <c r="B14" s="37"/>
      <c r="C14" s="41">
        <v>1</v>
      </c>
      <c r="D14" s="42" t="str">
        <f>'1. Purchase Order'!B19</f>
        <v>A01</v>
      </c>
      <c r="E14" s="61" t="str">
        <f>IFERROR(VLOOKUP(D14,Tabel_Barang[[Kode]:[Harga]],2,FALSE),"Terjadi Kesalahan")</f>
        <v>Mouse Gaming</v>
      </c>
      <c r="F14" s="42">
        <f>_xlfn.XLOOKUP(Table5[[#This Row],[Kode]],'1. Purchase Order'!$B$19:$B$26,'1. Purchase Order'!$F$19:$F$26, " ",)</f>
        <v>30</v>
      </c>
      <c r="G14" s="43">
        <f>_xlfn.XLOOKUP(Table5[[#This Row],[Kode]],'Master Data'!$B$3:$B$12,'Master Data'!$D$3:$D$12," ",0)</f>
        <v>40000</v>
      </c>
      <c r="H14" s="62">
        <f>IFERROR(IF(F14&gt;=12, Table5[[#This Row],[Harga Satuan]] * Table5[[#This Row],[Jumlah]] * 10%, 0),"Terjadi Kesalahan")</f>
        <v>120000</v>
      </c>
      <c r="I14" s="44">
        <f>IFERROR(Table5[[#This Row],[Jumlah]]*Table5[[#This Row],[Harga Satuan]]-Table5[[#This Row],[Diskon]],"Terjadi Kesalahan")</f>
        <v>1080000</v>
      </c>
      <c r="J14" s="38"/>
    </row>
    <row r="15" spans="1:10" ht="18" customHeight="1" thickBot="1" x14ac:dyDescent="0.35">
      <c r="B15" s="37"/>
      <c r="C15" s="41">
        <v>2</v>
      </c>
      <c r="D15" s="42" t="str">
        <f>'1. Purchase Order'!B20</f>
        <v>A02</v>
      </c>
      <c r="E15" s="61" t="str">
        <f>IFERROR(VLOOKUP(D15,Tabel_Barang[[Kode]:[Harga]],2,FALSE),"Terjadi Kesalahan")</f>
        <v>Keyboard</v>
      </c>
      <c r="F15" s="42">
        <f>_xlfn.XLOOKUP(Table5[[#This Row],[Kode]],'1. Purchase Order'!$B$19:$B$26,'1. Purchase Order'!$F$19:$F$26, " ",)</f>
        <v>12</v>
      </c>
      <c r="G15" s="43">
        <f>_xlfn.XLOOKUP(Table5[[#This Row],[Kode]],'Master Data'!$B$3:$B$12,'Master Data'!$D$3:$D$12," ",0)</f>
        <v>60000</v>
      </c>
      <c r="H15" s="62">
        <f>IFERROR(IF(F15&gt;=12, Table5[[#This Row],[Harga Satuan]] * Table5[[#This Row],[Jumlah]] * 10%, 0),"Terjadi Kesalahan")</f>
        <v>72000</v>
      </c>
      <c r="I15" s="44">
        <f>IFERROR(Table5[[#This Row],[Jumlah]]*Table5[[#This Row],[Harga Satuan]]-Table5[[#This Row],[Diskon]],"Terjadi Kesalahan")</f>
        <v>648000</v>
      </c>
      <c r="J15" s="38"/>
    </row>
    <row r="16" spans="1:10" ht="18" customHeight="1" thickBot="1" x14ac:dyDescent="0.35">
      <c r="B16" s="37"/>
      <c r="C16" s="41">
        <v>3</v>
      </c>
      <c r="D16" s="42" t="str">
        <f>'1. Purchase Order'!B21</f>
        <v>A03</v>
      </c>
      <c r="E16" s="61" t="str">
        <f>IFERROR(VLOOKUP(D16,Tabel_Barang[[Kode]:[Harga]],2,FALSE),"Terjadi Kesalahan")</f>
        <v>Harddisk Eksternal 512GB</v>
      </c>
      <c r="F16" s="42">
        <f>_xlfn.XLOOKUP(Table5[[#This Row],[Kode]],'1. Purchase Order'!$B$19:$B$26,'1. Purchase Order'!$F$19:$F$26, " ",)</f>
        <v>13</v>
      </c>
      <c r="G16" s="43">
        <f>_xlfn.XLOOKUP(Table5[[#This Row],[Kode]],'Master Data'!$B$3:$B$12,'Master Data'!$D$3:$D$12," ",0)</f>
        <v>2000000</v>
      </c>
      <c r="H16" s="62">
        <f>IFERROR(IF(F16&gt;=12, Table5[[#This Row],[Harga Satuan]] * Table5[[#This Row],[Jumlah]] * 10%, 0),"Terjadi Kesalahan")</f>
        <v>2600000</v>
      </c>
      <c r="I16" s="44">
        <f>IFERROR(Table5[[#This Row],[Jumlah]]*Table5[[#This Row],[Harga Satuan]]-Table5[[#This Row],[Diskon]],"Terjadi Kesalahan")</f>
        <v>23400000</v>
      </c>
      <c r="J16" s="38"/>
    </row>
    <row r="17" spans="2:10" ht="18" customHeight="1" thickBot="1" x14ac:dyDescent="0.35">
      <c r="B17" s="37"/>
      <c r="C17" s="41">
        <v>4</v>
      </c>
      <c r="D17" s="42" t="str">
        <f>'1. Purchase Order'!B22</f>
        <v>A04</v>
      </c>
      <c r="E17" s="61" t="str">
        <f>IFERROR(VLOOKUP(D17,Tabel_Barang[[Kode]:[Harga]],2,FALSE),"Terjadi Kesalahan")</f>
        <v>Monitor LED</v>
      </c>
      <c r="F17" s="42">
        <f>_xlfn.XLOOKUP(Table5[[#This Row],[Kode]],'1. Purchase Order'!$B$19:$B$26,'1. Purchase Order'!$F$19:$F$26, " ",) - 5</f>
        <v>5</v>
      </c>
      <c r="G17" s="43">
        <f>_xlfn.XLOOKUP(Table5[[#This Row],[Kode]],'Master Data'!$B$3:$B$12,'Master Data'!$D$3:$D$12," ",0)</f>
        <v>2000000</v>
      </c>
      <c r="H17" s="62">
        <f>IFERROR(IF(F17&gt;=12, Table5[[#This Row],[Harga Satuan]] * Table5[[#This Row],[Jumlah]] * 10%, 0),"Terjadi Kesalahan")</f>
        <v>0</v>
      </c>
      <c r="I17" s="44">
        <f>IFERROR(Table5[[#This Row],[Jumlah]]*Table5[[#This Row],[Harga Satuan]]-Table5[[#This Row],[Diskon]],"Terjadi Kesalahan")</f>
        <v>10000000</v>
      </c>
      <c r="J17" s="38"/>
    </row>
    <row r="18" spans="2:10" ht="18" customHeight="1" thickBot="1" x14ac:dyDescent="0.35">
      <c r="B18" s="37"/>
      <c r="C18" s="41">
        <v>5</v>
      </c>
      <c r="D18" s="42" t="str">
        <f>'1. Purchase Order'!B23</f>
        <v>A06</v>
      </c>
      <c r="E18" s="61" t="str">
        <f>IFERROR(VLOOKUP(D18,Tabel_Barang[[Kode]:[Harga]],2,FALSE),"Terjadi Kesalahan")</f>
        <v>Kursi Gaming</v>
      </c>
      <c r="F18" s="42">
        <f>_xlfn.XLOOKUP(Table5[[#This Row],[Kode]],'1. Purchase Order'!$B$19:$B$26,'1. Purchase Order'!$F$19:$F$26, " ",)</f>
        <v>6</v>
      </c>
      <c r="G18" s="43">
        <f>_xlfn.XLOOKUP(Table5[[#This Row],[Kode]],'Master Data'!$B$3:$B$12,'Master Data'!$D$3:$D$12," ",0)</f>
        <v>1500000</v>
      </c>
      <c r="H18" s="62">
        <f>IFERROR(IF(F18&gt;=12, Table5[[#This Row],[Harga Satuan]] * Table5[[#This Row],[Jumlah]] * 10%, 0),"Terjadi Kesalahan")</f>
        <v>0</v>
      </c>
      <c r="I18" s="44">
        <f>IFERROR(Table5[[#This Row],[Jumlah]]*Table5[[#This Row],[Harga Satuan]]-Table5[[#This Row],[Diskon]],"Terjadi Kesalahan")</f>
        <v>9000000</v>
      </c>
      <c r="J18" s="38"/>
    </row>
    <row r="19" spans="2:10" ht="18" customHeight="1" thickBot="1" x14ac:dyDescent="0.35">
      <c r="B19" s="37"/>
      <c r="C19" s="41">
        <v>6</v>
      </c>
      <c r="D19" s="42" t="str">
        <f>'1. Purchase Order'!B24</f>
        <v>A07</v>
      </c>
      <c r="E19" s="61" t="str">
        <f>IFERROR(VLOOKUP(D19,Tabel_Barang[[Kode]:[Harga]],2,FALSE),"Terjadi Kesalahan")</f>
        <v>Headset Gaming</v>
      </c>
      <c r="F19" s="42">
        <f>_xlfn.XLOOKUP(Table5[[#This Row],[Kode]],'1. Purchase Order'!$B$19:$B$26,'1. Purchase Order'!$F$19:$F$26, " ",)</f>
        <v>9</v>
      </c>
      <c r="G19" s="43">
        <f>_xlfn.XLOOKUP(Table5[[#This Row],[Kode]],'Master Data'!$B$3:$B$12,'Master Data'!$D$3:$D$12," ",0)</f>
        <v>40000</v>
      </c>
      <c r="H19" s="62">
        <f>IFERROR(IF(F19&gt;=12, Table5[[#This Row],[Harga Satuan]] * Table5[[#This Row],[Jumlah]] * 10%, 0),"Terjadi Kesalahan")</f>
        <v>0</v>
      </c>
      <c r="I19" s="44">
        <f>IFERROR(Table5[[#This Row],[Jumlah]]*Table5[[#This Row],[Harga Satuan]]-Table5[[#This Row],[Diskon]],"Terjadi Kesalahan")</f>
        <v>360000</v>
      </c>
      <c r="J19" s="38"/>
    </row>
    <row r="20" spans="2:10" ht="18" customHeight="1" thickBot="1" x14ac:dyDescent="0.35">
      <c r="B20" s="37"/>
      <c r="C20" s="41">
        <v>7</v>
      </c>
      <c r="D20" s="42" t="str">
        <f>'1. Purchase Order'!B25</f>
        <v>A10</v>
      </c>
      <c r="E20" s="61" t="str">
        <f>IFERROR(VLOOKUP(D20,Tabel_Barang[[Kode]:[Harga]],2,FALSE),"Terjadi Kesalahan")</f>
        <v>Speaker Super Bass</v>
      </c>
      <c r="F20" s="42">
        <f>_xlfn.XLOOKUP(Table5[[#This Row],[Kode]],'1. Purchase Order'!$B$19:$B$26,'1. Purchase Order'!$F$19:$F$26, " ",)</f>
        <v>12</v>
      </c>
      <c r="G20" s="43">
        <f>_xlfn.XLOOKUP(Table5[[#This Row],[Kode]],'Master Data'!$B$3:$B$12,'Master Data'!$D$3:$D$12," ",0)</f>
        <v>180000</v>
      </c>
      <c r="H20" s="62">
        <f>IFERROR(IF(F20&gt;=12, Table5[[#This Row],[Harga Satuan]] * Table5[[#This Row],[Jumlah]] * 10%, 0),"Terjadi Kesalahan")</f>
        <v>216000</v>
      </c>
      <c r="I20" s="44">
        <f>IFERROR(Table5[[#This Row],[Jumlah]]*Table5[[#This Row],[Harga Satuan]]-Table5[[#This Row],[Diskon]],"Terjadi Kesalahan")</f>
        <v>1944000</v>
      </c>
      <c r="J20" s="38"/>
    </row>
    <row r="21" spans="2:10" ht="18" customHeight="1" thickBot="1" x14ac:dyDescent="0.35">
      <c r="B21" s="37"/>
      <c r="C21" s="41">
        <v>8</v>
      </c>
      <c r="D21" s="42" t="str">
        <f>'1. Purchase Order'!B26</f>
        <v>A09</v>
      </c>
      <c r="E21" s="61" t="str">
        <f>IFERROR(VLOOKUP(D21,Tabel_Barang[[Kode]:[Harga]],2,FALSE),"Terjadi Kesalahan")</f>
        <v>Meja PC Gaming</v>
      </c>
      <c r="F21" s="42">
        <f>_xlfn.XLOOKUP(Table5[[#This Row],[Kode]],'1. Purchase Order'!$B$19:$B$26,'1. Purchase Order'!$F$19:$F$26, " ",)</f>
        <v>5</v>
      </c>
      <c r="G21" s="43">
        <f>_xlfn.XLOOKUP(Table5[[#This Row],[Kode]],'Master Data'!$B$3:$B$12,'Master Data'!$D$3:$D$12," ",0)</f>
        <v>1200000</v>
      </c>
      <c r="H21" s="62">
        <f>IFERROR(IF(F21&gt;=12, Table5[[#This Row],[Harga Satuan]] * Table5[[#This Row],[Jumlah]] * 10%, 0),"Terjadi Kesalahan")</f>
        <v>0</v>
      </c>
      <c r="I21" s="44">
        <f>IFERROR(Table5[[#This Row],[Jumlah]]*Table5[[#This Row],[Harga Satuan]]-Table5[[#This Row],[Diskon]],"Terjadi Kesalahan")</f>
        <v>6000000</v>
      </c>
      <c r="J21" s="38"/>
    </row>
    <row r="22" spans="2:10" ht="18" customHeight="1" thickBot="1" x14ac:dyDescent="0.35">
      <c r="B22" s="37"/>
      <c r="C22" s="59"/>
      <c r="D22" s="59"/>
      <c r="E22" s="59"/>
      <c r="F22" s="59"/>
      <c r="G22" s="132" t="s">
        <v>31</v>
      </c>
      <c r="H22" s="132"/>
      <c r="I22" s="63">
        <f>IFERROR(SUM(I14:I21),"Terjadi Kesalahan")</f>
        <v>52432000</v>
      </c>
      <c r="J22" s="38"/>
    </row>
    <row r="23" spans="2:10" ht="18" customHeight="1" thickBot="1" x14ac:dyDescent="0.35">
      <c r="B23" s="37"/>
      <c r="C23" s="59"/>
      <c r="D23" s="59"/>
      <c r="E23" s="59"/>
      <c r="F23" s="59"/>
      <c r="G23" s="132" t="s">
        <v>138</v>
      </c>
      <c r="H23" s="132"/>
      <c r="I23" s="63">
        <f>IFERROR(SUM(H14:H21),"Terjadi Kesalahan")</f>
        <v>3008000</v>
      </c>
      <c r="J23" s="38"/>
    </row>
    <row r="24" spans="2:10" ht="18" customHeight="1" thickBot="1" x14ac:dyDescent="0.35">
      <c r="B24" s="37"/>
      <c r="C24" s="59"/>
      <c r="D24" s="59"/>
      <c r="E24" s="59"/>
      <c r="F24" s="59"/>
      <c r="G24" s="132" t="s">
        <v>154</v>
      </c>
      <c r="H24" s="132"/>
      <c r="I24" s="63">
        <f>IFERROR((I22-I23)*11%,"Terjadi Kesalahan")</f>
        <v>5436640</v>
      </c>
      <c r="J24" s="38"/>
    </row>
    <row r="25" spans="2:10" ht="18" customHeight="1" thickBot="1" x14ac:dyDescent="0.35">
      <c r="B25" s="37"/>
      <c r="C25" s="59"/>
      <c r="D25" s="59"/>
      <c r="E25" s="59"/>
      <c r="F25" s="59"/>
      <c r="G25" s="132" t="s">
        <v>139</v>
      </c>
      <c r="H25" s="132"/>
      <c r="I25" s="63">
        <f>IFERROR(I22-I23+I24,"Terjadi Kesalahan")</f>
        <v>54860640</v>
      </c>
      <c r="J25" s="38"/>
    </row>
    <row r="26" spans="2:10" ht="18" customHeight="1" x14ac:dyDescent="0.3">
      <c r="B26" s="37"/>
      <c r="C26" s="59"/>
      <c r="D26" s="59"/>
      <c r="E26" s="59"/>
      <c r="F26" s="59"/>
      <c r="G26" s="59"/>
      <c r="H26" s="59"/>
      <c r="I26" s="59"/>
      <c r="J26" s="38"/>
    </row>
    <row r="27" spans="2:10" ht="18" customHeight="1" x14ac:dyDescent="0.3">
      <c r="B27" s="37"/>
      <c r="C27" s="59"/>
      <c r="D27" s="59"/>
      <c r="E27" s="59"/>
      <c r="F27" s="59"/>
      <c r="G27" s="59"/>
      <c r="H27" s="59"/>
      <c r="I27" s="59"/>
      <c r="J27" s="38"/>
    </row>
    <row r="28" spans="2:10" x14ac:dyDescent="0.3">
      <c r="B28" s="37"/>
      <c r="C28" s="59"/>
      <c r="D28" s="59"/>
      <c r="E28" s="59"/>
      <c r="F28" s="59"/>
      <c r="G28" s="59"/>
      <c r="H28" s="59"/>
      <c r="I28" s="59"/>
      <c r="J28" s="38"/>
    </row>
    <row r="29" spans="2:10" x14ac:dyDescent="0.3">
      <c r="B29" s="37"/>
      <c r="C29" s="59"/>
      <c r="D29" s="59"/>
      <c r="E29" s="59"/>
      <c r="F29" s="59"/>
      <c r="G29" s="59"/>
      <c r="H29" s="59"/>
      <c r="I29" s="59"/>
      <c r="J29" s="38"/>
    </row>
    <row r="30" spans="2:10" x14ac:dyDescent="0.3">
      <c r="B30" s="37"/>
      <c r="C30" s="59"/>
      <c r="D30" s="59"/>
      <c r="E30" s="59"/>
      <c r="F30" s="59"/>
      <c r="G30" s="59"/>
      <c r="H30" s="59"/>
      <c r="I30" s="59"/>
      <c r="J30" s="38"/>
    </row>
    <row r="31" spans="2:10" x14ac:dyDescent="0.3">
      <c r="B31" s="37"/>
      <c r="C31" s="59"/>
      <c r="D31" s="59"/>
      <c r="E31" s="59"/>
      <c r="F31" s="59"/>
      <c r="G31" s="59"/>
      <c r="H31" s="59"/>
      <c r="I31" s="59"/>
      <c r="J31" s="38"/>
    </row>
    <row r="32" spans="2:10" x14ac:dyDescent="0.3">
      <c r="B32" s="37"/>
      <c r="C32" s="59"/>
      <c r="D32" s="59"/>
      <c r="E32" s="59"/>
      <c r="F32" s="59"/>
      <c r="G32" s="59"/>
      <c r="H32" s="59"/>
      <c r="I32" s="59"/>
      <c r="J32" s="38"/>
    </row>
    <row r="33" spans="2:10" x14ac:dyDescent="0.3">
      <c r="B33" s="37"/>
      <c r="C33" s="59"/>
      <c r="D33" s="59"/>
      <c r="E33" s="59"/>
      <c r="F33" s="59"/>
      <c r="G33" s="59"/>
      <c r="H33" s="59"/>
      <c r="I33" s="59"/>
      <c r="J33" s="38"/>
    </row>
    <row r="34" spans="2:10" x14ac:dyDescent="0.3">
      <c r="B34" s="37"/>
      <c r="C34" s="59"/>
      <c r="D34" s="59"/>
      <c r="E34" s="59"/>
      <c r="F34" s="59"/>
      <c r="G34" s="59"/>
      <c r="H34" s="59"/>
      <c r="I34" s="59"/>
      <c r="J34" s="38"/>
    </row>
    <row r="35" spans="2:10" x14ac:dyDescent="0.3">
      <c r="B35" s="37"/>
      <c r="C35" s="59"/>
      <c r="D35" s="59"/>
      <c r="E35" s="59"/>
      <c r="F35" s="59"/>
      <c r="G35" s="59"/>
      <c r="H35" s="59"/>
      <c r="I35" s="59"/>
      <c r="J35" s="38"/>
    </row>
    <row r="36" spans="2:10" x14ac:dyDescent="0.3">
      <c r="B36" s="37"/>
      <c r="C36" s="59"/>
      <c r="D36" s="59"/>
      <c r="E36" s="59"/>
      <c r="F36" s="59"/>
      <c r="G36" s="59"/>
      <c r="H36" s="59"/>
      <c r="I36" s="59"/>
      <c r="J36" s="38"/>
    </row>
    <row r="37" spans="2:10" x14ac:dyDescent="0.3">
      <c r="B37" s="37"/>
      <c r="C37" s="60"/>
      <c r="D37" s="60"/>
      <c r="E37" s="60"/>
      <c r="F37" s="60"/>
      <c r="G37" s="60"/>
      <c r="H37" s="60"/>
      <c r="I37" s="60"/>
      <c r="J37" s="38"/>
    </row>
    <row r="38" spans="2:10" ht="15" thickBot="1" x14ac:dyDescent="0.35">
      <c r="B38" s="39"/>
      <c r="C38" s="49"/>
      <c r="D38" s="49"/>
      <c r="E38" s="49"/>
      <c r="F38" s="49"/>
      <c r="G38" s="49"/>
      <c r="H38" s="49"/>
      <c r="I38" s="49"/>
      <c r="J38" s="40"/>
    </row>
    <row r="56" spans="5:7" x14ac:dyDescent="0.3">
      <c r="E56" s="185"/>
      <c r="F56" s="185"/>
      <c r="G56" s="185"/>
    </row>
  </sheetData>
  <mergeCells count="16">
    <mergeCell ref="G22:H22"/>
    <mergeCell ref="G23:H23"/>
    <mergeCell ref="G24:H24"/>
    <mergeCell ref="G25:H25"/>
    <mergeCell ref="C8:E8"/>
    <mergeCell ref="H8:I8"/>
    <mergeCell ref="C9:E9"/>
    <mergeCell ref="H9:I9"/>
    <mergeCell ref="C11:D11"/>
    <mergeCell ref="H11:I11"/>
    <mergeCell ref="C3:I3"/>
    <mergeCell ref="H5:I5"/>
    <mergeCell ref="C6:E6"/>
    <mergeCell ref="H6:I6"/>
    <mergeCell ref="C7:E7"/>
    <mergeCell ref="H7:I7"/>
  </mergeCells>
  <pageMargins left="0.7" right="0.7" top="0.75" bottom="0.75" header="0.3" footer="0.3"/>
  <pageSetup paperSize="9" scale="44" orientation="portrait" r:id="rId1"/>
  <ignoredErrors>
    <ignoredError sqref="F17" calculatedColumn="1"/>
  </ignoredErrors>
  <drawing r:id="rId2"/>
  <tableParts count="1">
    <tablePart r:id="rId3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EDB200D5-859E-46F8-B89B-30E2480D902E}">
          <x14:formula1>
            <xm:f>'Master Data'!$G$17:$G$18</xm:f>
          </x14:formula1>
          <xm:sqref>H7:I7</xm:sqref>
        </x14:dataValidation>
        <x14:dataValidation type="list" allowBlank="1" showInputMessage="1" showErrorMessage="1" xr:uid="{5BE74B84-F421-4470-B473-E0CDE7D8864B}">
          <x14:formula1>
            <xm:f>'Master Data'!$H$3:$H$5</xm:f>
          </x14:formula1>
          <xm:sqref>C6:E6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9EDD55-F553-4D88-A8BD-77F62849744E}">
  <dimension ref="A1:K56"/>
  <sheetViews>
    <sheetView view="pageBreakPreview" zoomScale="52" zoomScaleNormal="71" zoomScaleSheetLayoutView="119" workbookViewId="0">
      <selection activeCell="G35" sqref="G35"/>
    </sheetView>
  </sheetViews>
  <sheetFormatPr defaultRowHeight="14.4" x14ac:dyDescent="0.3"/>
  <cols>
    <col min="1" max="1" width="8.77734375" customWidth="1"/>
    <col min="2" max="2" width="18.44140625" customWidth="1"/>
    <col min="3" max="6" width="15.77734375" customWidth="1"/>
    <col min="7" max="10" width="12.77734375" customWidth="1"/>
    <col min="11" max="11" width="8.77734375" customWidth="1"/>
  </cols>
  <sheetData>
    <row r="1" spans="1:11" s="168" customFormat="1" ht="25.05" customHeight="1" x14ac:dyDescent="0.3">
      <c r="A1" s="170"/>
    </row>
    <row r="2" spans="1:11" ht="25.8" x14ac:dyDescent="0.3">
      <c r="A2" s="170"/>
      <c r="B2" s="176"/>
      <c r="C2" s="176"/>
      <c r="D2" s="176"/>
      <c r="E2" s="176"/>
      <c r="F2" s="177"/>
      <c r="G2" s="178"/>
      <c r="H2" s="178"/>
      <c r="I2" s="178"/>
      <c r="J2" s="178"/>
      <c r="K2" s="168"/>
    </row>
    <row r="3" spans="1:11" ht="19.95" customHeight="1" x14ac:dyDescent="0.3">
      <c r="A3" s="170"/>
      <c r="B3" s="179"/>
      <c r="C3" s="179"/>
      <c r="D3" s="179"/>
      <c r="E3" s="179"/>
      <c r="F3" s="177"/>
      <c r="G3" s="180"/>
      <c r="H3" s="180"/>
      <c r="I3" s="180"/>
      <c r="J3" s="180"/>
      <c r="K3" s="168"/>
    </row>
    <row r="4" spans="1:11" ht="16.95" customHeight="1" x14ac:dyDescent="0.3">
      <c r="A4" s="170"/>
      <c r="B4" s="60"/>
      <c r="C4" s="60"/>
      <c r="D4" s="60"/>
      <c r="E4" s="60"/>
      <c r="F4" s="60"/>
      <c r="G4" s="60"/>
      <c r="H4" s="60"/>
      <c r="I4" s="60"/>
      <c r="J4" s="60"/>
      <c r="K4" s="168"/>
    </row>
    <row r="5" spans="1:11" ht="20.399999999999999" customHeight="1" x14ac:dyDescent="0.3">
      <c r="A5" s="170"/>
      <c r="B5" s="60"/>
      <c r="C5" s="60"/>
      <c r="D5" s="60"/>
      <c r="E5" s="60"/>
      <c r="F5" s="60"/>
      <c r="G5" s="60"/>
      <c r="H5" s="60"/>
      <c r="I5" s="60"/>
      <c r="J5" s="60"/>
      <c r="K5" s="168"/>
    </row>
    <row r="6" spans="1:11" ht="40.049999999999997" customHeight="1" x14ac:dyDescent="0.35">
      <c r="A6" s="190"/>
      <c r="B6" s="199" t="s">
        <v>221</v>
      </c>
      <c r="C6" s="172" t="s">
        <v>132</v>
      </c>
      <c r="D6" s="172"/>
      <c r="E6" s="172"/>
      <c r="F6" s="172"/>
      <c r="G6" s="172"/>
      <c r="H6" s="172"/>
      <c r="I6" s="172"/>
      <c r="J6" s="172"/>
      <c r="K6" s="168"/>
    </row>
    <row r="7" spans="1:11" ht="15" customHeight="1" x14ac:dyDescent="0.35">
      <c r="A7" s="190"/>
      <c r="B7" s="191"/>
      <c r="C7" s="192"/>
      <c r="D7" s="192"/>
      <c r="E7" s="192"/>
      <c r="F7" s="192"/>
      <c r="G7" s="192"/>
      <c r="H7" s="192"/>
      <c r="I7" s="192"/>
      <c r="J7" s="175"/>
      <c r="K7" s="168"/>
    </row>
    <row r="8" spans="1:11" ht="40.049999999999997" customHeight="1" x14ac:dyDescent="0.3">
      <c r="A8" s="170"/>
      <c r="B8" s="200" t="s">
        <v>224</v>
      </c>
      <c r="C8" s="173">
        <f>'5. Faktur Invoice'!I25</f>
        <v>54860640</v>
      </c>
      <c r="D8" s="173"/>
      <c r="E8" s="173"/>
      <c r="F8" s="173"/>
      <c r="G8" s="173"/>
      <c r="H8" s="173"/>
      <c r="I8" s="173"/>
      <c r="J8" s="173"/>
      <c r="K8" s="168"/>
    </row>
    <row r="9" spans="1:11" ht="15" customHeight="1" x14ac:dyDescent="0.3">
      <c r="A9" s="170"/>
      <c r="B9" s="169"/>
      <c r="C9" s="60"/>
      <c r="D9" s="60"/>
      <c r="E9" s="60"/>
      <c r="F9" s="60"/>
      <c r="G9" s="60"/>
      <c r="H9" s="60"/>
      <c r="I9" s="60"/>
      <c r="J9" s="60"/>
      <c r="K9" s="168"/>
    </row>
    <row r="10" spans="1:11" ht="40.049999999999997" customHeight="1" x14ac:dyDescent="0.3">
      <c r="A10" s="170"/>
      <c r="B10" s="199" t="s">
        <v>222</v>
      </c>
      <c r="C10" s="174" t="s">
        <v>229</v>
      </c>
      <c r="D10" s="174"/>
      <c r="E10" s="174"/>
      <c r="F10" s="174"/>
      <c r="G10" s="174"/>
      <c r="H10" s="174"/>
      <c r="I10" s="174"/>
      <c r="J10" s="174"/>
      <c r="K10" s="168"/>
    </row>
    <row r="11" spans="1:11" ht="15" customHeight="1" x14ac:dyDescent="0.3">
      <c r="A11" s="170"/>
      <c r="B11" s="171"/>
      <c r="C11" s="167"/>
      <c r="D11" s="167"/>
      <c r="E11" s="167"/>
      <c r="F11" s="167"/>
      <c r="G11" s="167"/>
      <c r="H11" s="167"/>
      <c r="I11" s="167"/>
      <c r="J11" s="167"/>
      <c r="K11" s="168"/>
    </row>
    <row r="12" spans="1:11" ht="40.049999999999997" customHeight="1" x14ac:dyDescent="0.3">
      <c r="A12" s="170"/>
      <c r="B12" s="199" t="s">
        <v>223</v>
      </c>
      <c r="C12" s="174" t="s">
        <v>225</v>
      </c>
      <c r="D12" s="172"/>
      <c r="E12" s="172"/>
      <c r="F12" s="172"/>
      <c r="G12" s="172"/>
      <c r="H12" s="172"/>
      <c r="I12" s="172"/>
      <c r="J12" s="172"/>
      <c r="K12" s="168"/>
    </row>
    <row r="13" spans="1:11" x14ac:dyDescent="0.3">
      <c r="A13" s="170"/>
      <c r="K13" s="168"/>
    </row>
    <row r="14" spans="1:11" ht="15" customHeight="1" x14ac:dyDescent="0.3">
      <c r="A14" s="170"/>
      <c r="B14" s="171"/>
      <c r="C14" s="183"/>
      <c r="D14" s="184"/>
      <c r="E14" s="184"/>
      <c r="F14" s="184"/>
      <c r="G14" s="184"/>
      <c r="H14" s="184"/>
      <c r="I14" s="184"/>
      <c r="J14" s="184"/>
      <c r="K14" s="168"/>
    </row>
    <row r="15" spans="1:11" x14ac:dyDescent="0.3">
      <c r="A15" s="168"/>
      <c r="B15" s="168"/>
      <c r="C15" s="168"/>
      <c r="D15" s="168"/>
      <c r="E15" s="168"/>
      <c r="F15" s="168"/>
      <c r="G15" s="168"/>
      <c r="H15" s="168"/>
      <c r="I15" s="168"/>
      <c r="J15" s="168"/>
      <c r="K15" s="168"/>
    </row>
    <row r="17" spans="8:10" s="48" customFormat="1" ht="19.95" customHeight="1" x14ac:dyDescent="0.3">
      <c r="H17" s="182" t="s">
        <v>227</v>
      </c>
      <c r="I17" s="182"/>
      <c r="J17" s="182"/>
    </row>
    <row r="25" spans="8:10" s="48" customFormat="1" ht="19.95" customHeight="1" x14ac:dyDescent="0.3">
      <c r="H25" s="181" t="s">
        <v>100</v>
      </c>
      <c r="I25" s="181"/>
      <c r="J25" s="181"/>
    </row>
    <row r="26" spans="8:10" s="48" customFormat="1" ht="19.95" customHeight="1" x14ac:dyDescent="0.3">
      <c r="H26" s="182" t="s">
        <v>228</v>
      </c>
      <c r="I26" s="182"/>
      <c r="J26" s="182"/>
    </row>
    <row r="56" spans="5:7" x14ac:dyDescent="0.3">
      <c r="E56" s="185"/>
      <c r="F56" s="185"/>
      <c r="G56" s="185"/>
    </row>
  </sheetData>
  <mergeCells count="12">
    <mergeCell ref="C11:J11"/>
    <mergeCell ref="H17:J17"/>
    <mergeCell ref="H25:J25"/>
    <mergeCell ref="H26:J26"/>
    <mergeCell ref="C10:J10"/>
    <mergeCell ref="C12:J12"/>
    <mergeCell ref="B2:E2"/>
    <mergeCell ref="G2:J2"/>
    <mergeCell ref="B3:E3"/>
    <mergeCell ref="G3:J3"/>
    <mergeCell ref="C6:J6"/>
    <mergeCell ref="C8:J8"/>
  </mergeCells>
  <pageMargins left="0.7" right="0.7" top="0.75" bottom="0.75" header="0.3" footer="0.3"/>
  <pageSetup paperSize="9" scale="58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C58780-DFEB-42A9-BFE1-B38EB2DEC0D3}">
  <dimension ref="A1:V18"/>
  <sheetViews>
    <sheetView tabSelected="1" zoomScale="81" workbookViewId="0">
      <selection activeCell="H23" sqref="H23"/>
    </sheetView>
  </sheetViews>
  <sheetFormatPr defaultRowHeight="14.4" x14ac:dyDescent="0.3"/>
  <cols>
    <col min="3" max="3" width="22.109375" bestFit="1" customWidth="1"/>
    <col min="4" max="4" width="29.6640625" customWidth="1"/>
    <col min="5" max="5" width="17.109375" customWidth="1"/>
    <col min="6" max="6" width="8.33203125" bestFit="1" customWidth="1"/>
    <col min="7" max="7" width="31.5546875" bestFit="1" customWidth="1"/>
    <col min="8" max="8" width="43.6640625" bestFit="1" customWidth="1"/>
    <col min="9" max="9" width="34.44140625" bestFit="1" customWidth="1"/>
    <col min="10" max="10" width="18.88671875" customWidth="1"/>
    <col min="11" max="11" width="14.44140625" bestFit="1" customWidth="1"/>
    <col min="12" max="12" width="22.77734375" bestFit="1" customWidth="1"/>
    <col min="14" max="14" width="10.44140625" bestFit="1" customWidth="1"/>
    <col min="15" max="15" width="19.44140625" bestFit="1" customWidth="1"/>
    <col min="16" max="16" width="14.109375" bestFit="1" customWidth="1"/>
    <col min="17" max="17" width="18.109375" bestFit="1" customWidth="1"/>
    <col min="18" max="18" width="17.21875" bestFit="1" customWidth="1"/>
    <col min="19" max="19" width="15.5546875" bestFit="1" customWidth="1"/>
    <col min="20" max="20" width="23" bestFit="1" customWidth="1"/>
    <col min="21" max="21" width="21.33203125" bestFit="1" customWidth="1"/>
    <col min="22" max="22" width="39.109375" bestFit="1" customWidth="1"/>
  </cols>
  <sheetData>
    <row r="1" spans="1:22" ht="27" customHeight="1" x14ac:dyDescent="0.3">
      <c r="B1" s="127"/>
      <c r="C1" s="127"/>
      <c r="D1" s="127"/>
      <c r="E1" s="127"/>
      <c r="N1" s="128" t="s">
        <v>149</v>
      </c>
      <c r="O1" s="128"/>
      <c r="P1" s="128"/>
      <c r="Q1" s="128"/>
      <c r="R1" s="128"/>
      <c r="S1" s="128"/>
      <c r="T1" s="128"/>
      <c r="U1" s="128"/>
      <c r="V1" s="128"/>
    </row>
    <row r="2" spans="1:22" x14ac:dyDescent="0.3">
      <c r="A2" s="1" t="s">
        <v>5</v>
      </c>
      <c r="B2" s="1" t="s">
        <v>0</v>
      </c>
      <c r="C2" s="1" t="s">
        <v>1</v>
      </c>
      <c r="D2" s="1" t="s">
        <v>3</v>
      </c>
      <c r="F2" s="1" t="s">
        <v>5</v>
      </c>
      <c r="G2" s="1" t="s">
        <v>55</v>
      </c>
      <c r="H2" s="1" t="s">
        <v>56</v>
      </c>
      <c r="I2" s="52" t="s">
        <v>57</v>
      </c>
      <c r="J2" s="52" t="s">
        <v>58</v>
      </c>
      <c r="K2" s="52" t="s">
        <v>59</v>
      </c>
      <c r="L2" s="1" t="s">
        <v>102</v>
      </c>
      <c r="N2" s="3" t="s">
        <v>5</v>
      </c>
      <c r="O2" s="3" t="s">
        <v>140</v>
      </c>
      <c r="P2" s="3" t="s">
        <v>91</v>
      </c>
      <c r="Q2" s="3" t="s">
        <v>112</v>
      </c>
      <c r="R2" s="3" t="s">
        <v>113</v>
      </c>
      <c r="S2" s="3" t="s">
        <v>114</v>
      </c>
      <c r="T2" s="3" t="s">
        <v>141</v>
      </c>
      <c r="U2" s="3" t="s">
        <v>142</v>
      </c>
      <c r="V2" s="3" t="s">
        <v>143</v>
      </c>
    </row>
    <row r="3" spans="1:22" x14ac:dyDescent="0.3">
      <c r="A3" s="1">
        <v>1</v>
      </c>
      <c r="B3" s="1" t="s">
        <v>34</v>
      </c>
      <c r="C3" t="s">
        <v>44</v>
      </c>
      <c r="D3" s="18">
        <v>40000</v>
      </c>
      <c r="F3" s="1">
        <v>1</v>
      </c>
      <c r="G3" s="1" t="s">
        <v>15</v>
      </c>
      <c r="H3" s="2" t="s">
        <v>16</v>
      </c>
      <c r="I3" s="2" t="s">
        <v>17</v>
      </c>
      <c r="J3" s="2" t="s">
        <v>94</v>
      </c>
      <c r="K3" s="53" t="s">
        <v>60</v>
      </c>
      <c r="L3" s="21">
        <v>46264</v>
      </c>
      <c r="N3" s="3">
        <v>1</v>
      </c>
      <c r="O3" s="2" t="s">
        <v>110</v>
      </c>
      <c r="P3" s="50">
        <v>46261</v>
      </c>
      <c r="Q3" s="2" t="s">
        <v>15</v>
      </c>
      <c r="R3" s="2" t="s">
        <v>148</v>
      </c>
      <c r="S3" s="51" t="s">
        <v>146</v>
      </c>
      <c r="T3" s="2" t="s">
        <v>147</v>
      </c>
      <c r="U3" t="s">
        <v>100</v>
      </c>
      <c r="V3" t="s">
        <v>74</v>
      </c>
    </row>
    <row r="4" spans="1:22" x14ac:dyDescent="0.3">
      <c r="A4" s="1">
        <v>2</v>
      </c>
      <c r="B4" s="1" t="s">
        <v>35</v>
      </c>
      <c r="C4" t="s">
        <v>45</v>
      </c>
      <c r="D4" s="18">
        <v>60000</v>
      </c>
      <c r="F4" s="1">
        <v>2</v>
      </c>
      <c r="G4" s="1" t="s">
        <v>61</v>
      </c>
      <c r="H4" s="2" t="s">
        <v>76</v>
      </c>
      <c r="I4" s="2" t="s">
        <v>81</v>
      </c>
      <c r="J4" t="s">
        <v>95</v>
      </c>
      <c r="K4" s="53" t="s">
        <v>86</v>
      </c>
      <c r="L4" s="21">
        <v>46265</v>
      </c>
      <c r="N4" s="3">
        <v>2</v>
      </c>
      <c r="O4" s="2" t="s">
        <v>145</v>
      </c>
      <c r="P4" s="50">
        <v>46262</v>
      </c>
      <c r="Q4" s="3" t="s">
        <v>61</v>
      </c>
      <c r="R4" s="2" t="s">
        <v>151</v>
      </c>
      <c r="S4" s="51" t="s">
        <v>150</v>
      </c>
      <c r="T4" s="2" t="s">
        <v>76</v>
      </c>
      <c r="U4" s="54" t="s">
        <v>153</v>
      </c>
      <c r="V4" s="2" t="s">
        <v>144</v>
      </c>
    </row>
    <row r="5" spans="1:22" x14ac:dyDescent="0.3">
      <c r="A5" s="1">
        <v>3</v>
      </c>
      <c r="B5" s="1" t="s">
        <v>36</v>
      </c>
      <c r="C5" t="s">
        <v>53</v>
      </c>
      <c r="D5" s="18">
        <v>2000000</v>
      </c>
      <c r="F5" s="1">
        <v>3</v>
      </c>
      <c r="G5" s="1" t="s">
        <v>62</v>
      </c>
      <c r="H5" s="2" t="s">
        <v>77</v>
      </c>
      <c r="I5" s="2" t="s">
        <v>82</v>
      </c>
      <c r="J5" t="s">
        <v>96</v>
      </c>
      <c r="K5" s="53" t="s">
        <v>87</v>
      </c>
      <c r="L5" s="21">
        <v>46266</v>
      </c>
    </row>
    <row r="6" spans="1:22" x14ac:dyDescent="0.3">
      <c r="A6" s="1">
        <v>4</v>
      </c>
      <c r="B6" s="1" t="s">
        <v>37</v>
      </c>
      <c r="C6" t="s">
        <v>46</v>
      </c>
      <c r="D6" s="18">
        <v>2000000</v>
      </c>
      <c r="F6" s="1">
        <v>4</v>
      </c>
      <c r="G6" s="1" t="s">
        <v>63</v>
      </c>
      <c r="H6" s="2" t="s">
        <v>78</v>
      </c>
      <c r="I6" s="2" t="s">
        <v>83</v>
      </c>
      <c r="J6" t="s">
        <v>97</v>
      </c>
      <c r="K6" s="53" t="s">
        <v>88</v>
      </c>
      <c r="L6" s="21">
        <v>46267</v>
      </c>
    </row>
    <row r="7" spans="1:22" x14ac:dyDescent="0.3">
      <c r="A7" s="1">
        <v>5</v>
      </c>
      <c r="B7" s="1" t="s">
        <v>38</v>
      </c>
      <c r="C7" t="s">
        <v>47</v>
      </c>
      <c r="D7" s="18">
        <v>5000000</v>
      </c>
      <c r="F7" s="1">
        <v>5</v>
      </c>
      <c r="G7" s="1" t="s">
        <v>64</v>
      </c>
      <c r="H7" s="2" t="s">
        <v>79</v>
      </c>
      <c r="I7" s="2" t="s">
        <v>84</v>
      </c>
      <c r="J7" t="s">
        <v>98</v>
      </c>
      <c r="K7" s="53" t="s">
        <v>89</v>
      </c>
      <c r="L7" s="21">
        <v>46268</v>
      </c>
    </row>
    <row r="8" spans="1:22" x14ac:dyDescent="0.3">
      <c r="A8" s="1">
        <v>6</v>
      </c>
      <c r="B8" s="1" t="s">
        <v>39</v>
      </c>
      <c r="C8" t="s">
        <v>48</v>
      </c>
      <c r="D8" s="18">
        <v>1500000</v>
      </c>
      <c r="F8" s="1">
        <v>6</v>
      </c>
      <c r="G8" s="1" t="s">
        <v>65</v>
      </c>
      <c r="H8" s="2" t="s">
        <v>80</v>
      </c>
      <c r="I8" s="2" t="s">
        <v>85</v>
      </c>
      <c r="J8" t="s">
        <v>99</v>
      </c>
      <c r="K8" s="53" t="s">
        <v>90</v>
      </c>
      <c r="L8" s="21">
        <v>46269</v>
      </c>
    </row>
    <row r="9" spans="1:22" x14ac:dyDescent="0.3">
      <c r="A9" s="1">
        <v>7</v>
      </c>
      <c r="B9" s="1" t="s">
        <v>40</v>
      </c>
      <c r="C9" t="s">
        <v>49</v>
      </c>
      <c r="D9" s="18">
        <v>40000</v>
      </c>
    </row>
    <row r="10" spans="1:22" x14ac:dyDescent="0.3">
      <c r="A10" s="1">
        <v>8</v>
      </c>
      <c r="B10" s="1" t="s">
        <v>41</v>
      </c>
      <c r="C10" t="s">
        <v>50</v>
      </c>
      <c r="D10" s="18">
        <v>15000</v>
      </c>
    </row>
    <row r="11" spans="1:22" x14ac:dyDescent="0.3">
      <c r="A11" s="1">
        <v>9</v>
      </c>
      <c r="B11" s="1" t="s">
        <v>42</v>
      </c>
      <c r="C11" t="s">
        <v>51</v>
      </c>
      <c r="D11" s="18">
        <v>1200000</v>
      </c>
    </row>
    <row r="12" spans="1:22" x14ac:dyDescent="0.3">
      <c r="A12" s="1">
        <v>10</v>
      </c>
      <c r="B12" s="1" t="s">
        <v>43</v>
      </c>
      <c r="C12" t="s">
        <v>52</v>
      </c>
      <c r="D12" s="18">
        <v>180000</v>
      </c>
    </row>
    <row r="13" spans="1:22" x14ac:dyDescent="0.3">
      <c r="B13" s="1"/>
      <c r="C13" s="1"/>
    </row>
    <row r="14" spans="1:22" x14ac:dyDescent="0.3">
      <c r="B14" s="1"/>
      <c r="C14" s="1"/>
    </row>
    <row r="15" spans="1:22" x14ac:dyDescent="0.3">
      <c r="B15" s="1"/>
      <c r="C15" s="1"/>
    </row>
    <row r="16" spans="1:22" x14ac:dyDescent="0.3">
      <c r="F16" s="1" t="s">
        <v>5</v>
      </c>
      <c r="G16" s="1" t="s">
        <v>66</v>
      </c>
      <c r="H16" s="1" t="s">
        <v>67</v>
      </c>
      <c r="I16" s="1" t="s">
        <v>68</v>
      </c>
      <c r="J16" s="1" t="s">
        <v>69</v>
      </c>
    </row>
    <row r="17" spans="6:10" x14ac:dyDescent="0.3">
      <c r="F17" s="1">
        <v>1</v>
      </c>
      <c r="G17" t="s">
        <v>71</v>
      </c>
      <c r="H17" t="s">
        <v>73</v>
      </c>
      <c r="I17" t="s">
        <v>101</v>
      </c>
      <c r="J17" s="1" t="s">
        <v>70</v>
      </c>
    </row>
    <row r="18" spans="6:10" x14ac:dyDescent="0.3">
      <c r="F18" s="1">
        <v>2</v>
      </c>
      <c r="G18" t="s">
        <v>72</v>
      </c>
      <c r="H18" t="s">
        <v>74</v>
      </c>
      <c r="I18" t="s">
        <v>100</v>
      </c>
      <c r="J18" s="1" t="s">
        <v>75</v>
      </c>
    </row>
  </sheetData>
  <mergeCells count="2">
    <mergeCell ref="B1:E1"/>
    <mergeCell ref="N1:V1"/>
  </mergeCells>
  <phoneticPr fontId="9" type="noConversion"/>
  <pageMargins left="0.7" right="0.7" top="0.75" bottom="0.75" header="0.3" footer="0.3"/>
  <tableParts count="4">
    <tablePart r:id="rId1"/>
    <tablePart r:id="rId2"/>
    <tablePart r:id="rId3"/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6</vt:i4>
      </vt:variant>
    </vt:vector>
  </HeadingPairs>
  <TitlesOfParts>
    <vt:vector size="13" baseType="lpstr">
      <vt:lpstr>1. Purchase Order</vt:lpstr>
      <vt:lpstr>2. Surat Jalan</vt:lpstr>
      <vt:lpstr>3. BAST</vt:lpstr>
      <vt:lpstr>4. Surat Retur</vt:lpstr>
      <vt:lpstr>5. Faktur Invoice</vt:lpstr>
      <vt:lpstr>6. Kwitansi</vt:lpstr>
      <vt:lpstr>Master Data</vt:lpstr>
      <vt:lpstr>'1. Purchase Order'!Print_Area</vt:lpstr>
      <vt:lpstr>'2. Surat Jalan'!Print_Area</vt:lpstr>
      <vt:lpstr>'3. BAST'!Print_Area</vt:lpstr>
      <vt:lpstr>'4. Surat Retur'!Print_Area</vt:lpstr>
      <vt:lpstr>'5. Faktur Invoice'!Print_Area</vt:lpstr>
      <vt:lpstr>'6. Kwitansi'!Print_Area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Rizky Faisal Rafi</dc:creator>
  <cp:lastModifiedBy>Rizky Faisal Rafi</cp:lastModifiedBy>
  <cp:lastPrinted>2026-08-27T14:23:23Z</cp:lastPrinted>
  <dcterms:created xsi:type="dcterms:W3CDTF">2026-08-27T03:12:51Z</dcterms:created>
  <dcterms:modified xsi:type="dcterms:W3CDTF">2026-08-27T14:58:18Z</dcterms:modified>
</cp:coreProperties>
</file>