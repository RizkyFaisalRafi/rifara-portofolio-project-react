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xcelTemplate\"/>
    </mc:Choice>
  </mc:AlternateContent>
  <xr:revisionPtr revIDLastSave="0" documentId="13_ncr:1_{DF27B2E1-1850-4A2D-8E64-18C027B3F2E1}" xr6:coauthVersionLast="47" xr6:coauthVersionMax="47" xr10:uidLastSave="{00000000-0000-0000-0000-000000000000}"/>
  <bookViews>
    <workbookView xWindow="-108" yWindow="-108" windowWidth="23256" windowHeight="13176" activeTab="1" xr2:uid="{D7DEA276-9811-4945-8F57-10432F56DA69}"/>
  </bookViews>
  <sheets>
    <sheet name="Database" sheetId="1" r:id="rId1"/>
    <sheet name="Laporan" sheetId="2" r:id="rId2"/>
  </sheets>
  <definedNames>
    <definedName name="_xlnm.Print_Area" localSheetId="1">Laporan!$A$2:$O$22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7" i="2" l="1"/>
  <c r="M17" i="2"/>
  <c r="I17" i="2"/>
  <c r="K10" i="1"/>
  <c r="K15" i="2"/>
  <c r="K16" i="2"/>
  <c r="N11" i="2"/>
  <c r="N12" i="2"/>
  <c r="N13" i="2"/>
  <c r="N14" i="2"/>
  <c r="N15" i="2"/>
  <c r="N16" i="2"/>
  <c r="L11" i="2"/>
  <c r="L12" i="2"/>
  <c r="L13" i="2"/>
  <c r="L14" i="2"/>
  <c r="L15" i="2"/>
  <c r="L16" i="2"/>
  <c r="I11" i="2"/>
  <c r="I12" i="2"/>
  <c r="I13" i="2"/>
  <c r="I14" i="2"/>
  <c r="I15" i="2"/>
  <c r="I16" i="2"/>
  <c r="H15" i="2"/>
  <c r="H16" i="2"/>
  <c r="F11" i="2"/>
  <c r="F12" i="2"/>
  <c r="F13" i="2"/>
  <c r="F14" i="2"/>
  <c r="F15" i="2"/>
  <c r="F16" i="2"/>
  <c r="N10" i="2"/>
  <c r="L10" i="2"/>
  <c r="I10" i="2"/>
  <c r="G7" i="2" s="1"/>
  <c r="F10" i="2"/>
  <c r="E11" i="2"/>
  <c r="E12" i="2"/>
  <c r="E13" i="2"/>
  <c r="E14" i="2"/>
  <c r="E15" i="2"/>
  <c r="E16" i="2"/>
  <c r="E10" i="2"/>
  <c r="L9" i="1"/>
  <c r="J15" i="2" s="1"/>
  <c r="H5" i="1"/>
  <c r="H11" i="2" s="1"/>
  <c r="H6" i="1"/>
  <c r="H12" i="2" s="1"/>
  <c r="H7" i="1"/>
  <c r="H8" i="1"/>
  <c r="L8" i="1" s="1"/>
  <c r="J14" i="2" s="1"/>
  <c r="H9" i="1"/>
  <c r="H10" i="1"/>
  <c r="L10" i="1" s="1"/>
  <c r="J16" i="2" s="1"/>
  <c r="H4" i="1"/>
  <c r="H10" i="2" s="1"/>
  <c r="K5" i="1"/>
  <c r="K11" i="2" s="1"/>
  <c r="K6" i="1"/>
  <c r="K12" i="2" s="1"/>
  <c r="K7" i="1"/>
  <c r="K13" i="2" s="1"/>
  <c r="K8" i="1"/>
  <c r="K14" i="2" s="1"/>
  <c r="K9" i="1"/>
  <c r="K4" i="1"/>
  <c r="K10" i="2" s="1"/>
  <c r="H14" i="2" l="1"/>
  <c r="L4" i="1"/>
  <c r="J10" i="2" s="1"/>
  <c r="H13" i="2"/>
  <c r="L6" i="1"/>
  <c r="J12" i="2" s="1"/>
  <c r="L5" i="1"/>
  <c r="J11" i="2" s="1"/>
  <c r="L7" i="1"/>
  <c r="J13" i="2" s="1"/>
  <c r="N9" i="1"/>
  <c r="M15" i="2" s="1"/>
  <c r="N8" i="1"/>
  <c r="M14" i="2" s="1"/>
  <c r="N4" i="1"/>
  <c r="M10" i="2" s="1"/>
  <c r="N10" i="1"/>
  <c r="M16" i="2" s="1"/>
  <c r="B7" i="2" l="1"/>
  <c r="N5" i="1"/>
  <c r="M11" i="2" s="1"/>
  <c r="K7" i="2" s="1"/>
  <c r="N6" i="1"/>
  <c r="M12" i="2" s="1"/>
  <c r="N7" i="1"/>
  <c r="M13" i="2" s="1"/>
</calcChain>
</file>

<file path=xl/sharedStrings.xml><?xml version="1.0" encoding="utf-8"?>
<sst xmlns="http://schemas.openxmlformats.org/spreadsheetml/2006/main" count="83" uniqueCount="49">
  <si>
    <t>GMV (Rp.)</t>
  </si>
  <si>
    <t>Luna Maya</t>
  </si>
  <si>
    <t>Rizky Febian</t>
  </si>
  <si>
    <t>Siska Racun Belanja</t>
  </si>
  <si>
    <t>Dapur Bunda</t>
  </si>
  <si>
    <t>Review Mantap</t>
  </si>
  <si>
    <t>Doyan Makan</t>
  </si>
  <si>
    <t>luna.maya</t>
  </si>
  <si>
    <t>rizky.febian123</t>
  </si>
  <si>
    <t>siska_belanjain</t>
  </si>
  <si>
    <t>dapurbunda123</t>
  </si>
  <si>
    <t>reviewin_ajah_yuk</t>
  </si>
  <si>
    <t>doyan_makan_official</t>
  </si>
  <si>
    <t>TikTok</t>
  </si>
  <si>
    <t>Shoppe</t>
  </si>
  <si>
    <t>Instagram</t>
  </si>
  <si>
    <t>NAMA PRODUK</t>
  </si>
  <si>
    <t>PLATFORM</t>
  </si>
  <si>
    <t>USERNAME</t>
  </si>
  <si>
    <t>NAMA KREATOR</t>
  </si>
  <si>
    <t>NO.</t>
  </si>
  <si>
    <t>JUMLAH KLIK</t>
  </si>
  <si>
    <t>PESANAN</t>
  </si>
  <si>
    <t>CONVERSION RATE</t>
  </si>
  <si>
    <t>HARGA SATUAN</t>
  </si>
  <si>
    <t>Miss Spicy Sambal Cumi (Botol Kaca)</t>
  </si>
  <si>
    <t>Bumbu Tabur Pedas Gila (500gr)</t>
  </si>
  <si>
    <t>Miss Spicy Sambal Bawang</t>
  </si>
  <si>
    <t>Paket Bundling Spicy (3 Varian)</t>
  </si>
  <si>
    <t>RATE KOMISI</t>
  </si>
  <si>
    <t>TOTAL KOMISI (Rp)</t>
  </si>
  <si>
    <t>STATUS PEMBAYARAN</t>
  </si>
  <si>
    <t>Lunas</t>
  </si>
  <si>
    <t>Pending (Proses)</t>
  </si>
  <si>
    <t>TOTAL GMV (PENJUALAN KOTOR)</t>
  </si>
  <si>
    <t>TOTAL PESANAN SELESAI</t>
  </si>
  <si>
    <t>ESTIMASI TOTAL KOMISI (PAYOUT)</t>
  </si>
  <si>
    <t>STATUS</t>
  </si>
  <si>
    <t>TOTAL KOMISI</t>
  </si>
  <si>
    <t>GMV</t>
  </si>
  <si>
    <t>RATE (%)</t>
  </si>
  <si>
    <t>Ayu Ting Ting</t>
  </si>
  <si>
    <t>ayuin_tingting</t>
  </si>
  <si>
    <t>CONV. RATE</t>
  </si>
  <si>
    <t>Link Affiliate</t>
  </si>
  <si>
    <t>TOTAL KESELURUHAN</t>
  </si>
  <si>
    <t>** Kolom GMV dihitung dari: Harga Satuan × Pesanan Selesai.</t>
  </si>
  <si>
    <t>*** Kolom Total Komisi dihitung dari: GMV × Rate (%) Komisi.</t>
  </si>
  <si>
    <t>* Laporan ini dibuat secara otomatis untuk keperluan evaluasi internal BSM.BIZ.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</si>
</sst>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Rp&quot;* #,##0_-;\-&quot;Rp&quot;* #,##0_-;_-&quot;Rp&quot;* &quot;-&quot;_-;_-@_-"/>
    <numFmt numFmtId="164" formatCode="&quot;@&quot;@"/>
    <numFmt numFmtId="169" formatCode="&quot;Rp&quot;\ #,##0"/>
    <numFmt numFmtId="171" formatCode="&quot;Rp&quot;\ #,##0.00"/>
    <numFmt numFmtId="173" formatCode="_-&quot;Rp&quot;* #,##0_-;\-&quot;Rp&quot;* #,##0_-;_-&quot;Rp&quot;* &quot;-&quot;??_-;_-@_-"/>
  </numFmts>
  <fonts count="10" x14ac:knownFonts="1">
    <font>
      <sz val="11"/>
      <color theme="1"/>
      <name val="Aptos Narrow"/>
      <family val="2"/>
      <charset val="1"/>
      <scheme val="minor"/>
    </font>
    <font>
      <sz val="11"/>
      <color theme="1"/>
      <name val="Aptos Narrow"/>
      <family val="2"/>
      <charset val="1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charset val="1"/>
      <scheme val="minor"/>
    </font>
    <font>
      <b/>
      <sz val="20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2" tint="-0.49998474074526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quotePrefix="1" applyNumberFormat="1" applyAlignment="1">
      <alignment horizontal="left" vertical="center"/>
    </xf>
    <xf numFmtId="3" fontId="0" fillId="0" borderId="0" xfId="0" applyNumberFormat="1" applyAlignment="1">
      <alignment horizontal="center" vertical="center"/>
    </xf>
    <xf numFmtId="9" fontId="0" fillId="0" borderId="0" xfId="0" applyNumberFormat="1"/>
    <xf numFmtId="42" fontId="0" fillId="0" borderId="0" xfId="0" applyNumberFormat="1"/>
    <xf numFmtId="10" fontId="0" fillId="0" borderId="0" xfId="0" applyNumberFormat="1" applyAlignment="1">
      <alignment horizontal="center" vertical="center"/>
    </xf>
    <xf numFmtId="42" fontId="0" fillId="0" borderId="0" xfId="0" applyNumberFormat="1" applyAlignment="1">
      <alignment horizontal="center" vertical="center"/>
    </xf>
    <xf numFmtId="9" fontId="0" fillId="0" borderId="0" xfId="1" applyFont="1"/>
    <xf numFmtId="9" fontId="0" fillId="0" borderId="0" xfId="1" applyFont="1" applyAlignment="1">
      <alignment horizontal="center" vertical="center"/>
    </xf>
    <xf numFmtId="0" fontId="0" fillId="0" borderId="0" xfId="0" applyAlignment="1">
      <alignment horizontal="left" vertical="center"/>
    </xf>
    <xf numFmtId="3" fontId="0" fillId="0" borderId="0" xfId="0" applyNumberFormat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42" fontId="6" fillId="3" borderId="1" xfId="0" applyNumberFormat="1" applyFont="1" applyFill="1" applyBorder="1" applyAlignment="1">
      <alignment horizontal="center" vertical="center"/>
    </xf>
    <xf numFmtId="3" fontId="6" fillId="3" borderId="1" xfId="0" applyNumberFormat="1" applyFont="1" applyFill="1" applyBorder="1" applyAlignment="1">
      <alignment horizontal="center" vertical="center"/>
    </xf>
    <xf numFmtId="10" fontId="6" fillId="4" borderId="1" xfId="1" applyNumberFormat="1" applyFont="1" applyFill="1" applyBorder="1" applyAlignment="1">
      <alignment horizontal="center" vertical="center"/>
    </xf>
    <xf numFmtId="9" fontId="6" fillId="3" borderId="1" xfId="1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3" fillId="0" borderId="0" xfId="0" applyFont="1"/>
    <xf numFmtId="0" fontId="6" fillId="3" borderId="1" xfId="0" applyNumberFormat="1" applyFont="1" applyFill="1" applyBorder="1" applyAlignment="1">
      <alignment horizontal="left" vertical="center" indent="1"/>
    </xf>
    <xf numFmtId="0" fontId="4" fillId="0" borderId="0" xfId="0" applyFont="1" applyAlignment="1">
      <alignment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42" fontId="6" fillId="3" borderId="13" xfId="0" applyNumberFormat="1" applyFont="1" applyFill="1" applyBorder="1" applyAlignment="1">
      <alignment horizontal="center" vertical="center"/>
    </xf>
    <xf numFmtId="3" fontId="6" fillId="3" borderId="13" xfId="0" applyNumberFormat="1" applyFont="1" applyFill="1" applyBorder="1" applyAlignment="1">
      <alignment horizontal="center" vertical="center"/>
    </xf>
    <xf numFmtId="10" fontId="6" fillId="4" borderId="13" xfId="1" applyNumberFormat="1" applyFont="1" applyFill="1" applyBorder="1" applyAlignment="1">
      <alignment horizontal="center" vertical="center"/>
    </xf>
    <xf numFmtId="9" fontId="6" fillId="3" borderId="13" xfId="1" applyFont="1" applyFill="1" applyBorder="1" applyAlignment="1">
      <alignment horizontal="center" vertical="center"/>
    </xf>
    <xf numFmtId="3" fontId="0" fillId="0" borderId="0" xfId="0" applyNumberFormat="1" applyAlignment="1">
      <alignment horizontal="left" vertical="center" indent="1"/>
    </xf>
    <xf numFmtId="3" fontId="7" fillId="3" borderId="5" xfId="0" applyNumberFormat="1" applyFont="1" applyFill="1" applyBorder="1" applyAlignment="1">
      <alignment horizontal="left" vertical="center" indent="1"/>
    </xf>
    <xf numFmtId="0" fontId="7" fillId="3" borderId="6" xfId="0" applyFont="1" applyFill="1" applyBorder="1" applyAlignment="1">
      <alignment horizontal="left" vertical="center" indent="1"/>
    </xf>
    <xf numFmtId="0" fontId="7" fillId="3" borderId="7" xfId="0" applyFont="1" applyFill="1" applyBorder="1" applyAlignment="1">
      <alignment horizontal="left" vertical="center" indent="1"/>
    </xf>
    <xf numFmtId="171" fontId="7" fillId="3" borderId="5" xfId="0" applyNumberFormat="1" applyFont="1" applyFill="1" applyBorder="1" applyAlignment="1">
      <alignment horizontal="left" vertical="center" indent="1"/>
    </xf>
    <xf numFmtId="171" fontId="7" fillId="3" borderId="6" xfId="0" applyNumberFormat="1" applyFont="1" applyFill="1" applyBorder="1" applyAlignment="1">
      <alignment horizontal="left" vertical="center" indent="1"/>
    </xf>
    <xf numFmtId="171" fontId="7" fillId="3" borderId="7" xfId="0" applyNumberFormat="1" applyFont="1" applyFill="1" applyBorder="1" applyAlignment="1">
      <alignment horizontal="left" vertical="center" indent="1"/>
    </xf>
    <xf numFmtId="169" fontId="7" fillId="3" borderId="5" xfId="0" applyNumberFormat="1" applyFont="1" applyFill="1" applyBorder="1" applyAlignment="1">
      <alignment horizontal="left" vertical="center" indent="1"/>
    </xf>
    <xf numFmtId="169" fontId="7" fillId="3" borderId="6" xfId="0" applyNumberFormat="1" applyFont="1" applyFill="1" applyBorder="1" applyAlignment="1">
      <alignment horizontal="left" vertical="center" indent="1"/>
    </xf>
    <xf numFmtId="169" fontId="7" fillId="3" borderId="7" xfId="0" applyNumberFormat="1" applyFont="1" applyFill="1" applyBorder="1" applyAlignment="1">
      <alignment horizontal="left" vertical="center" indent="1"/>
    </xf>
    <xf numFmtId="0" fontId="7" fillId="5" borderId="2" xfId="0" applyFont="1" applyFill="1" applyBorder="1" applyAlignment="1">
      <alignment horizontal="left" vertical="center" indent="1"/>
    </xf>
    <xf numFmtId="0" fontId="7" fillId="5" borderId="3" xfId="0" applyFont="1" applyFill="1" applyBorder="1" applyAlignment="1">
      <alignment horizontal="left" vertical="center" indent="1"/>
    </xf>
    <xf numFmtId="0" fontId="7" fillId="5" borderId="4" xfId="0" applyFont="1" applyFill="1" applyBorder="1" applyAlignment="1">
      <alignment horizontal="left" vertical="center" indent="1"/>
    </xf>
    <xf numFmtId="0" fontId="0" fillId="6" borderId="15" xfId="0" applyFill="1" applyBorder="1"/>
    <xf numFmtId="0" fontId="8" fillId="6" borderId="16" xfId="0" applyFont="1" applyFill="1" applyBorder="1" applyAlignment="1">
      <alignment horizontal="right" vertical="center" indent="1"/>
    </xf>
    <xf numFmtId="0" fontId="8" fillId="6" borderId="17" xfId="0" applyFont="1" applyFill="1" applyBorder="1" applyAlignment="1">
      <alignment horizontal="right" vertical="center" indent="1"/>
    </xf>
    <xf numFmtId="3" fontId="5" fillId="7" borderId="16" xfId="0" applyNumberFormat="1" applyFont="1" applyFill="1" applyBorder="1" applyAlignment="1">
      <alignment horizontal="center" vertical="center"/>
    </xf>
    <xf numFmtId="173" fontId="5" fillId="7" borderId="16" xfId="0" applyNumberFormat="1" applyFont="1" applyFill="1" applyBorder="1" applyAlignment="1">
      <alignment horizontal="center" vertical="center"/>
    </xf>
    <xf numFmtId="3" fontId="5" fillId="7" borderId="16" xfId="0" applyNumberFormat="1" applyFont="1" applyFill="1" applyBorder="1"/>
    <xf numFmtId="0" fontId="0" fillId="7" borderId="17" xfId="0" applyFill="1" applyBorder="1"/>
    <xf numFmtId="0" fontId="6" fillId="3" borderId="1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3" borderId="19" xfId="0" applyNumberFormat="1" applyFont="1" applyFill="1" applyBorder="1" applyAlignment="1">
      <alignment horizontal="left" vertical="center" indent="1"/>
    </xf>
    <xf numFmtId="42" fontId="6" fillId="3" borderId="19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22">
    <dxf>
      <alignment horizontal="left" vertical="center" textRotation="0" wrapText="0" indent="1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2" formatCode="_-&quot;Rp&quot;* #,##0_-;\-&quot;Rp&quot;* #,##0_-;_-&quot;Rp&quot;* &quot;-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minor"/>
      </font>
      <alignment horizontal="center" vertical="center" textRotation="0" wrapText="0" indent="0" justifyLastLine="0" shrinkToFit="0" readingOrder="0"/>
    </dxf>
    <dxf>
      <numFmt numFmtId="32" formatCode="_-&quot;Rp&quot;* #,##0_-;\-&quot;Rp&quot;* #,##0_-;_-&quot;Rp&quot;* &quot;-&quot;_-;_-@_-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2" formatCode="_-&quot;Rp&quot;* #,##0_-;\-&quot;Rp&quot;* #,##0_-;_-&quot;Rp&quot;* &quot;-&quot;_-;_-@_-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64" formatCode="&quot;@&quot;@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2547</xdr:colOff>
      <xdr:row>1</xdr:row>
      <xdr:rowOff>152399</xdr:rowOff>
    </xdr:from>
    <xdr:to>
      <xdr:col>13</xdr:col>
      <xdr:colOff>1281382</xdr:colOff>
      <xdr:row>4</xdr:row>
      <xdr:rowOff>76200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8A3CB201-7BC6-D2DE-B4B1-7BE8DE108372}"/>
            </a:ext>
          </a:extLst>
        </xdr:cNvPr>
        <xdr:cNvSpPr/>
      </xdr:nvSpPr>
      <xdr:spPr>
        <a:xfrm>
          <a:off x="601261" y="337456"/>
          <a:ext cx="16693007" cy="870858"/>
        </a:xfrm>
        <a:prstGeom prst="roundRect">
          <a:avLst/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2200" b="1"/>
            <a:t>Laporan Performa Afiliasi (Monthly Recap) - Detail Produk</a:t>
          </a:r>
        </a:p>
        <a:p>
          <a:pPr algn="l"/>
          <a:r>
            <a:rPr lang="id-ID" sz="2200" b="1"/>
            <a:t>PT. BeSmart International (BSM.BIZ) | Periode: Agustus 2026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AF06E3-1212-49D3-A557-4B6FFEFFA94B}" name="Data_Creator" displayName="Data_Creator" ref="B3:O10" totalsRowShown="0" headerRowDxfId="9">
  <autoFilter ref="B3:O10" xr:uid="{06AF06E3-1212-49D3-A557-4B6FFEFFA94B}"/>
  <tableColumns count="14">
    <tableColumn id="1" xr3:uid="{E94B5672-C19F-496A-863D-BEF418B15570}" name="NO." dataDxfId="21"/>
    <tableColumn id="2" xr3:uid="{1C45AC3B-94DE-40AE-8931-2F480D82BA42}" name="NAMA KREATOR" dataDxfId="20"/>
    <tableColumn id="3" xr3:uid="{7863ECD6-3DEB-47A7-AB16-B580AF1B4DD3}" name="USERNAME" dataDxfId="19"/>
    <tableColumn id="4" xr3:uid="{43E9572A-A29F-4F01-BE20-60497E2B885B}" name="PLATFORM" dataDxfId="18"/>
    <tableColumn id="5" xr3:uid="{8A477F6F-61E5-4CC5-B060-2215D6A6E9CA}" name="NAMA PRODUK" dataDxfId="0"/>
    <tableColumn id="14" xr3:uid="{A6098C0D-D924-4A3F-A690-40B8A8440DDC}" name="Link Affiliate" dataDxfId="1"/>
    <tableColumn id="6" xr3:uid="{75330301-5B86-44C5-9CAB-394AAD4653B1}" name="HARGA SATUAN" dataDxfId="17">
      <calculatedColumnFormula>IF(F4=$U$2,$V$2,IF(F4=$U$3,$V$3,IF(F4=$U$4,$V$4,IF(F4=$U$5,$V$5," - "))))</calculatedColumnFormula>
    </tableColumn>
    <tableColumn id="7" xr3:uid="{6DCBF2B8-7FB8-4AC0-9888-69B433277B7A}" name="JUMLAH KLIK" dataDxfId="16"/>
    <tableColumn id="8" xr3:uid="{A312DAD6-F31C-4077-AFBB-97BBC0137682}" name="PESANAN" dataDxfId="15"/>
    <tableColumn id="9" xr3:uid="{22387330-F0A2-40DA-A0C1-A51F96F7B95C}" name="CONVERSION RATE" dataDxfId="14">
      <calculatedColumnFormula>(J4/I4) * 100%</calculatedColumnFormula>
    </tableColumn>
    <tableColumn id="10" xr3:uid="{7853D04F-0D3D-4BDA-B6E9-B59F2AE3EF29}" name="GMV (Rp.)" dataDxfId="13">
      <calculatedColumnFormula>IFERROR(H4 * J4, " - ")</calculatedColumnFormula>
    </tableColumn>
    <tableColumn id="11" xr3:uid="{A777EB6B-A412-488A-B410-D96414C52005}" name="RATE KOMISI" dataDxfId="12" dataCellStyle="Percent"/>
    <tableColumn id="12" xr3:uid="{BBF5BFB9-3180-41D4-97DF-17229D5D25B1}" name="TOTAL KOMISI (Rp)" dataDxfId="11">
      <calculatedColumnFormula>IFERROR(L4 * M4, " - ")</calculatedColumnFormula>
    </tableColumn>
    <tableColumn id="13" xr3:uid="{8A25D043-6D04-4736-BC9B-D8F675DE9D49}" name="STATUS PEMBAYARAN" dataDxfId="1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048A-93DE-4B39-87E6-D7CC7FE2A08B}">
  <dimension ref="B2:W14"/>
  <sheetViews>
    <sheetView zoomScale="70" zoomScaleNormal="70" workbookViewId="0">
      <selection activeCell="G16" sqref="G16"/>
    </sheetView>
  </sheetViews>
  <sheetFormatPr defaultRowHeight="14.4" x14ac:dyDescent="0.3"/>
  <cols>
    <col min="2" max="2" width="15.6640625" bestFit="1" customWidth="1"/>
    <col min="3" max="3" width="20.88671875" bestFit="1" customWidth="1"/>
    <col min="4" max="4" width="32.44140625" customWidth="1"/>
    <col min="5" max="5" width="21" bestFit="1" customWidth="1"/>
    <col min="6" max="6" width="32" customWidth="1"/>
    <col min="7" max="7" width="31" customWidth="1"/>
    <col min="8" max="8" width="25.109375" bestFit="1" customWidth="1"/>
    <col min="9" max="9" width="22.6640625" bestFit="1" customWidth="1"/>
    <col min="10" max="10" width="20.6640625" bestFit="1" customWidth="1"/>
    <col min="11" max="11" width="28.77734375" bestFit="1" customWidth="1"/>
    <col min="12" max="12" width="20.109375" bestFit="1" customWidth="1"/>
    <col min="13" max="13" width="22.88671875" bestFit="1" customWidth="1"/>
    <col min="14" max="14" width="27.6640625" bestFit="1" customWidth="1"/>
    <col min="15" max="15" width="31" bestFit="1" customWidth="1"/>
    <col min="20" max="20" width="9.33203125" bestFit="1" customWidth="1"/>
    <col min="21" max="21" width="32.88671875" bestFit="1" customWidth="1"/>
    <col min="22" max="22" width="15.5546875" customWidth="1"/>
    <col min="23" max="23" width="15.33203125" bestFit="1" customWidth="1"/>
  </cols>
  <sheetData>
    <row r="2" spans="2:23" x14ac:dyDescent="0.3">
      <c r="S2" s="5">
        <v>7.0000000000000007E-2</v>
      </c>
      <c r="T2" t="s">
        <v>13</v>
      </c>
      <c r="U2" t="s">
        <v>25</v>
      </c>
      <c r="V2" s="6">
        <v>100000</v>
      </c>
      <c r="W2" t="s">
        <v>32</v>
      </c>
    </row>
    <row r="3" spans="2:23" ht="19.95" customHeight="1" x14ac:dyDescent="0.3">
      <c r="B3" s="2" t="s">
        <v>20</v>
      </c>
      <c r="C3" s="2" t="s">
        <v>19</v>
      </c>
      <c r="D3" s="2" t="s">
        <v>18</v>
      </c>
      <c r="E3" s="2" t="s">
        <v>17</v>
      </c>
      <c r="F3" s="2" t="s">
        <v>16</v>
      </c>
      <c r="G3" s="2" t="s">
        <v>44</v>
      </c>
      <c r="H3" s="2" t="s">
        <v>24</v>
      </c>
      <c r="I3" s="2" t="s">
        <v>21</v>
      </c>
      <c r="J3" s="2" t="s">
        <v>22</v>
      </c>
      <c r="K3" s="2" t="s">
        <v>23</v>
      </c>
      <c r="L3" s="2" t="s">
        <v>0</v>
      </c>
      <c r="M3" s="2" t="s">
        <v>29</v>
      </c>
      <c r="N3" s="2" t="s">
        <v>30</v>
      </c>
      <c r="O3" s="2" t="s">
        <v>31</v>
      </c>
      <c r="S3" s="5">
        <v>0.08</v>
      </c>
      <c r="T3" t="s">
        <v>14</v>
      </c>
      <c r="U3" t="s">
        <v>26</v>
      </c>
      <c r="V3" s="6">
        <v>80000</v>
      </c>
      <c r="W3" t="s">
        <v>33</v>
      </c>
    </row>
    <row r="4" spans="2:23" ht="19.95" customHeight="1" x14ac:dyDescent="0.3">
      <c r="B4" s="1">
        <v>1</v>
      </c>
      <c r="C4" s="11" t="s">
        <v>1</v>
      </c>
      <c r="D4" s="3" t="s">
        <v>7</v>
      </c>
      <c r="E4" s="11" t="s">
        <v>15</v>
      </c>
      <c r="F4" s="15" t="s">
        <v>25</v>
      </c>
      <c r="G4" s="11"/>
      <c r="H4" s="8">
        <f>IF(F4=$U$2,$V$2,IF(F4=$U$3,$V$3,IF(F4=$U$4,$V$4,IF(F4=$U$5,$V$5," - "))))</f>
        <v>100000</v>
      </c>
      <c r="I4" s="4">
        <v>10000</v>
      </c>
      <c r="J4" s="4">
        <v>1500</v>
      </c>
      <c r="K4" s="7">
        <f>(J4/I4) * 100%</f>
        <v>0.15</v>
      </c>
      <c r="L4" s="8">
        <f>IFERROR(H4 * J4, " - ")</f>
        <v>150000000</v>
      </c>
      <c r="M4" s="10">
        <v>0.12</v>
      </c>
      <c r="N4" s="6">
        <f>IFERROR(L4 * M4, " - ")</f>
        <v>18000000</v>
      </c>
      <c r="O4" s="1" t="s">
        <v>32</v>
      </c>
      <c r="S4" s="5">
        <v>0.09</v>
      </c>
      <c r="T4" t="s">
        <v>15</v>
      </c>
      <c r="U4" t="s">
        <v>27</v>
      </c>
      <c r="V4" s="6">
        <v>75000</v>
      </c>
    </row>
    <row r="5" spans="2:23" ht="19.95" customHeight="1" x14ac:dyDescent="0.3">
      <c r="B5" s="1">
        <v>2</v>
      </c>
      <c r="C5" s="11" t="s">
        <v>2</v>
      </c>
      <c r="D5" s="3" t="s">
        <v>8</v>
      </c>
      <c r="E5" s="11" t="s">
        <v>13</v>
      </c>
      <c r="F5" s="15" t="s">
        <v>28</v>
      </c>
      <c r="G5" s="11"/>
      <c r="H5" s="8">
        <f t="shared" ref="H5:H11" si="0">IF(F5=$U$2,$V$2,IF(F5=$U$3,$V$3,IF(F5=$U$4,$V$4,IF(F5=$U$5,$V$5," - "))))</f>
        <v>250000</v>
      </c>
      <c r="I5" s="4">
        <v>8000</v>
      </c>
      <c r="J5" s="4">
        <v>1000</v>
      </c>
      <c r="K5" s="7">
        <f>(J5/I5) * 100%</f>
        <v>0.125</v>
      </c>
      <c r="L5" s="8">
        <f t="shared" ref="L5:L13" si="1">IFERROR(H5 * J5, " - ")</f>
        <v>250000000</v>
      </c>
      <c r="M5" s="10">
        <v>0.12</v>
      </c>
      <c r="N5" s="6">
        <f>IFERROR(L5 * M5, " - ")</f>
        <v>30000000</v>
      </c>
      <c r="O5" s="1" t="s">
        <v>32</v>
      </c>
      <c r="S5" s="5">
        <v>0.1</v>
      </c>
      <c r="U5" t="s">
        <v>28</v>
      </c>
      <c r="V5" s="6">
        <v>250000</v>
      </c>
    </row>
    <row r="6" spans="2:23" ht="19.95" customHeight="1" x14ac:dyDescent="0.3">
      <c r="B6" s="1">
        <v>3</v>
      </c>
      <c r="C6" s="11" t="s">
        <v>3</v>
      </c>
      <c r="D6" s="3" t="s">
        <v>9</v>
      </c>
      <c r="E6" s="11" t="s">
        <v>13</v>
      </c>
      <c r="F6" s="15" t="s">
        <v>26</v>
      </c>
      <c r="G6" s="11"/>
      <c r="H6" s="8">
        <f t="shared" si="0"/>
        <v>80000</v>
      </c>
      <c r="I6" s="4">
        <v>2000</v>
      </c>
      <c r="J6" s="4">
        <v>870</v>
      </c>
      <c r="K6" s="7">
        <f>(J6/I6) * 100%</f>
        <v>0.435</v>
      </c>
      <c r="L6" s="8">
        <f t="shared" si="1"/>
        <v>69600000</v>
      </c>
      <c r="M6" s="10">
        <v>0.1</v>
      </c>
      <c r="N6" s="6">
        <f>IFERROR(L6 * M6, " - ")</f>
        <v>6960000</v>
      </c>
      <c r="O6" s="1" t="s">
        <v>33</v>
      </c>
      <c r="S6" s="5">
        <v>0.11</v>
      </c>
      <c r="V6" s="6"/>
    </row>
    <row r="7" spans="2:23" ht="19.95" customHeight="1" x14ac:dyDescent="0.3">
      <c r="B7" s="1">
        <v>4</v>
      </c>
      <c r="C7" s="11" t="s">
        <v>4</v>
      </c>
      <c r="D7" s="3" t="s">
        <v>10</v>
      </c>
      <c r="E7" s="11" t="s">
        <v>13</v>
      </c>
      <c r="F7" s="15" t="s">
        <v>27</v>
      </c>
      <c r="G7" s="11"/>
      <c r="H7" s="8">
        <f t="shared" si="0"/>
        <v>75000</v>
      </c>
      <c r="I7" s="4">
        <v>950</v>
      </c>
      <c r="J7" s="4">
        <v>60</v>
      </c>
      <c r="K7" s="7">
        <f>(J7/I7) * 100%</f>
        <v>6.3157894736842107E-2</v>
      </c>
      <c r="L7" s="8">
        <f t="shared" si="1"/>
        <v>4500000</v>
      </c>
      <c r="M7" s="10">
        <v>0.1</v>
      </c>
      <c r="N7" s="6">
        <f t="shared" ref="N7:N13" si="2">IFERROR(L7 * M7, " - ")</f>
        <v>450000</v>
      </c>
      <c r="O7" s="1" t="s">
        <v>32</v>
      </c>
      <c r="S7" s="5">
        <v>0.12</v>
      </c>
      <c r="V7" s="6"/>
    </row>
    <row r="8" spans="2:23" ht="19.95" customHeight="1" x14ac:dyDescent="0.3">
      <c r="B8" s="1">
        <v>5</v>
      </c>
      <c r="C8" s="11" t="s">
        <v>5</v>
      </c>
      <c r="D8" s="3" t="s">
        <v>11</v>
      </c>
      <c r="E8" s="11" t="s">
        <v>14</v>
      </c>
      <c r="F8" s="15" t="s">
        <v>28</v>
      </c>
      <c r="G8" s="11"/>
      <c r="H8" s="8">
        <f t="shared" si="0"/>
        <v>250000</v>
      </c>
      <c r="I8" s="4">
        <v>900</v>
      </c>
      <c r="J8" s="4">
        <v>70</v>
      </c>
      <c r="K8" s="7">
        <f>(J8/I8) * 100%</f>
        <v>7.7777777777777779E-2</v>
      </c>
      <c r="L8" s="8">
        <f t="shared" si="1"/>
        <v>17500000</v>
      </c>
      <c r="M8" s="10">
        <v>0.09</v>
      </c>
      <c r="N8" s="6">
        <f t="shared" si="2"/>
        <v>1575000</v>
      </c>
      <c r="O8" s="1" t="s">
        <v>33</v>
      </c>
      <c r="S8" s="5">
        <v>0.13</v>
      </c>
      <c r="V8" s="6"/>
    </row>
    <row r="9" spans="2:23" ht="19.95" customHeight="1" x14ac:dyDescent="0.3">
      <c r="B9" s="1">
        <v>6</v>
      </c>
      <c r="C9" s="11" t="s">
        <v>6</v>
      </c>
      <c r="D9" s="3" t="s">
        <v>12</v>
      </c>
      <c r="E9" s="11" t="s">
        <v>14</v>
      </c>
      <c r="F9" s="15" t="s">
        <v>25</v>
      </c>
      <c r="G9" s="11"/>
      <c r="H9" s="8">
        <f t="shared" si="0"/>
        <v>100000</v>
      </c>
      <c r="I9" s="4">
        <v>1200</v>
      </c>
      <c r="J9" s="4">
        <v>120</v>
      </c>
      <c r="K9" s="7">
        <f>(J9/I9) * 100%</f>
        <v>0.1</v>
      </c>
      <c r="L9" s="8">
        <f t="shared" si="1"/>
        <v>12000000</v>
      </c>
      <c r="M9" s="10">
        <v>0.1</v>
      </c>
      <c r="N9" s="6">
        <f t="shared" si="2"/>
        <v>1200000</v>
      </c>
      <c r="O9" s="1" t="s">
        <v>33</v>
      </c>
      <c r="S9" s="5">
        <v>0.14000000000000001</v>
      </c>
      <c r="V9" s="6"/>
    </row>
    <row r="10" spans="2:23" ht="19.95" customHeight="1" x14ac:dyDescent="0.3">
      <c r="B10" s="1">
        <v>7</v>
      </c>
      <c r="C10" s="11" t="s">
        <v>41</v>
      </c>
      <c r="D10" s="13" t="s">
        <v>42</v>
      </c>
      <c r="E10" s="11" t="s">
        <v>15</v>
      </c>
      <c r="F10" s="36" t="s">
        <v>25</v>
      </c>
      <c r="G10" s="12"/>
      <c r="H10" s="8">
        <f t="shared" si="0"/>
        <v>100000</v>
      </c>
      <c r="I10" s="4">
        <v>5000</v>
      </c>
      <c r="J10" s="4">
        <v>300</v>
      </c>
      <c r="K10" s="7">
        <f>(J10/I10) * 100%</f>
        <v>0.06</v>
      </c>
      <c r="L10" s="8">
        <f t="shared" si="1"/>
        <v>30000000</v>
      </c>
      <c r="M10" s="10">
        <v>0.1</v>
      </c>
      <c r="N10" s="6">
        <f t="shared" si="2"/>
        <v>3000000</v>
      </c>
      <c r="O10" s="1" t="s">
        <v>32</v>
      </c>
      <c r="S10" s="5">
        <v>0.15</v>
      </c>
    </row>
    <row r="11" spans="2:23" ht="19.95" customHeight="1" x14ac:dyDescent="0.3">
      <c r="E11" s="11"/>
      <c r="F11" s="12"/>
      <c r="G11" s="12"/>
      <c r="H11" s="8"/>
      <c r="I11" s="4"/>
      <c r="J11" s="4"/>
      <c r="K11" s="14"/>
      <c r="L11" s="8"/>
      <c r="M11" s="10"/>
      <c r="N11" s="6"/>
      <c r="O11" s="1"/>
      <c r="S11" s="5">
        <v>0.16</v>
      </c>
    </row>
    <row r="12" spans="2:23" ht="19.95" customHeight="1" x14ac:dyDescent="0.3">
      <c r="E12" s="11"/>
      <c r="F12" s="12"/>
      <c r="G12" s="12"/>
      <c r="H12" s="8"/>
      <c r="I12" s="4"/>
      <c r="J12" s="4"/>
      <c r="K12" s="14"/>
      <c r="L12" s="8"/>
      <c r="M12" s="10"/>
      <c r="N12" s="6"/>
      <c r="O12" s="1"/>
    </row>
    <row r="13" spans="2:23" ht="19.95" customHeight="1" x14ac:dyDescent="0.3">
      <c r="E13" s="11"/>
      <c r="F13" s="11"/>
      <c r="G13" s="11"/>
      <c r="H13" s="8"/>
      <c r="I13" s="1"/>
      <c r="J13" s="1"/>
      <c r="K13" s="1"/>
      <c r="L13" s="8"/>
      <c r="M13" s="10"/>
      <c r="N13" s="6"/>
      <c r="O13" s="1"/>
    </row>
    <row r="14" spans="2:23" x14ac:dyDescent="0.3">
      <c r="H14" s="1"/>
      <c r="M14" s="9"/>
    </row>
  </sheetData>
  <conditionalFormatting sqref="E4:E12">
    <cfRule type="cellIs" dxfId="8" priority="3" operator="equal">
      <formula>"Instagram"</formula>
    </cfRule>
    <cfRule type="cellIs" dxfId="7" priority="4" operator="equal">
      <formula>"Shoppe"</formula>
    </cfRule>
    <cfRule type="cellIs" dxfId="6" priority="5" operator="equal">
      <formula>"TikTok"</formula>
    </cfRule>
  </conditionalFormatting>
  <conditionalFormatting sqref="O4:O13">
    <cfRule type="cellIs" dxfId="5" priority="1" operator="equal">
      <formula>"Pending (Proses)"</formula>
    </cfRule>
    <cfRule type="cellIs" dxfId="4" priority="2" operator="equal">
      <formula>"Lunas"</formula>
    </cfRule>
  </conditionalFormatting>
  <dataValidations count="4">
    <dataValidation type="list" allowBlank="1" showInputMessage="1" showErrorMessage="1" sqref="E4:E12" xr:uid="{D4DDA0B8-DC16-4804-A00D-BAE3B588778A}">
      <formula1>$T$1:$T$4</formula1>
    </dataValidation>
    <dataValidation type="list" allowBlank="1" showInputMessage="1" showErrorMessage="1" sqref="F4:F12 G11:G12" xr:uid="{BD3811B0-CBFE-4A8B-B8BD-A27ED6CD414F}">
      <formula1>$U$1:$U$5</formula1>
    </dataValidation>
    <dataValidation type="list" allowBlank="1" showInputMessage="1" showErrorMessage="1" sqref="M4:M14" xr:uid="{6339E81E-5017-467F-932F-ACE61CB9CE1C}">
      <formula1>$S$1:$S$11</formula1>
    </dataValidation>
    <dataValidation type="list" allowBlank="1" showInputMessage="1" showErrorMessage="1" sqref="O4:O13" xr:uid="{AC4DD686-AF8C-40E4-9F95-88D869803614}">
      <formula1>$W$1:$W$3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696C3-B5B4-4887-9ABA-AC08B26C2CFA}">
  <dimension ref="B3:O21"/>
  <sheetViews>
    <sheetView tabSelected="1" view="pageBreakPreview" topLeftCell="A6" zoomScale="70" zoomScaleNormal="55" zoomScaleSheetLayoutView="70" workbookViewId="0">
      <selection activeCell="J16" sqref="J16"/>
    </sheetView>
  </sheetViews>
  <sheetFormatPr defaultRowHeight="14.4" x14ac:dyDescent="0.3"/>
  <cols>
    <col min="1" max="1" width="8.77734375" customWidth="1"/>
    <col min="2" max="14" width="18.77734375" customWidth="1"/>
    <col min="15" max="15" width="8.77734375" customWidth="1"/>
  </cols>
  <sheetData>
    <row r="3" spans="2:15" ht="30" customHeight="1" x14ac:dyDescent="0.3"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 x14ac:dyDescent="0.3"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</row>
    <row r="5" spans="2:15" ht="30" customHeight="1" thickBot="1" x14ac:dyDescent="0.35"/>
    <row r="6" spans="2:15" ht="30" customHeight="1" x14ac:dyDescent="0.3">
      <c r="B6" s="46" t="s">
        <v>34</v>
      </c>
      <c r="C6" s="47"/>
      <c r="D6" s="47"/>
      <c r="E6" s="48"/>
      <c r="F6" s="22"/>
      <c r="G6" s="46" t="s">
        <v>35</v>
      </c>
      <c r="H6" s="47"/>
      <c r="I6" s="48"/>
      <c r="J6" s="23"/>
      <c r="K6" s="46" t="s">
        <v>36</v>
      </c>
      <c r="L6" s="47"/>
      <c r="M6" s="47"/>
      <c r="N6" s="48"/>
    </row>
    <row r="7" spans="2:15" ht="30" customHeight="1" thickBot="1" x14ac:dyDescent="0.35">
      <c r="B7" s="43">
        <f>SUM(J10:J16)</f>
        <v>533600000</v>
      </c>
      <c r="C7" s="44"/>
      <c r="D7" s="44"/>
      <c r="E7" s="45"/>
      <c r="F7" s="24"/>
      <c r="G7" s="37">
        <f>SUM(I10:I16)</f>
        <v>3920</v>
      </c>
      <c r="H7" s="38"/>
      <c r="I7" s="39"/>
      <c r="J7" s="24"/>
      <c r="K7" s="40">
        <f>SUM(M10:M16)</f>
        <v>61185000</v>
      </c>
      <c r="L7" s="41"/>
      <c r="M7" s="41"/>
      <c r="N7" s="42"/>
    </row>
    <row r="8" spans="2:15" ht="30" customHeight="1" thickBot="1" x14ac:dyDescent="0.35"/>
    <row r="9" spans="2:15" ht="34.950000000000003" customHeight="1" x14ac:dyDescent="0.3">
      <c r="B9" s="27" t="s">
        <v>20</v>
      </c>
      <c r="C9" s="28" t="s">
        <v>19</v>
      </c>
      <c r="D9" s="28"/>
      <c r="E9" s="29" t="s">
        <v>17</v>
      </c>
      <c r="F9" s="28" t="s">
        <v>16</v>
      </c>
      <c r="G9" s="28"/>
      <c r="H9" s="29" t="s">
        <v>24</v>
      </c>
      <c r="I9" s="29" t="s">
        <v>22</v>
      </c>
      <c r="J9" s="29" t="s">
        <v>39</v>
      </c>
      <c r="K9" s="29" t="s">
        <v>43</v>
      </c>
      <c r="L9" s="29" t="s">
        <v>40</v>
      </c>
      <c r="M9" s="29" t="s">
        <v>38</v>
      </c>
      <c r="N9" s="30" t="s">
        <v>37</v>
      </c>
    </row>
    <row r="10" spans="2:15" ht="34.950000000000003" customHeight="1" x14ac:dyDescent="0.3">
      <c r="B10" s="31">
        <v>1</v>
      </c>
      <c r="C10" s="17" t="s">
        <v>1</v>
      </c>
      <c r="D10" s="17"/>
      <c r="E10" s="16" t="str">
        <f>_xlfn.XLOOKUP(C10,Data_Creator[NAMA KREATOR],Data_Creator[PLATFORM]," - ")</f>
        <v>Instagram</v>
      </c>
      <c r="F10" s="25" t="str">
        <f>_xlfn.XLOOKUP(C10,Data_Creator[NAMA KREATOR],Data_Creator[NAMA PRODUK]," - ")</f>
        <v>Miss Spicy Sambal Cumi (Botol Kaca)</v>
      </c>
      <c r="G10" s="25"/>
      <c r="H10" s="18">
        <f>_xlfn.XLOOKUP(C10,Data_Creator[NAMA KREATOR],Data_Creator[HARGA SATUAN]," - ")</f>
        <v>100000</v>
      </c>
      <c r="I10" s="19">
        <f>_xlfn.XLOOKUP(C10,Data_Creator[NAMA KREATOR],Data_Creator[PESANAN]," - ")</f>
        <v>1500</v>
      </c>
      <c r="J10" s="18">
        <f>_xlfn.XLOOKUP(C10,Data_Creator[NAMA KREATOR],Data_Creator[GMV (Rp.)]," - ")</f>
        <v>150000000</v>
      </c>
      <c r="K10" s="20">
        <f>_xlfn.XLOOKUP(C10,Data_Creator[NAMA KREATOR],Data_Creator[CONVERSION RATE]," - ")</f>
        <v>0.15</v>
      </c>
      <c r="L10" s="21">
        <f>_xlfn.XLOOKUP(C10,Data_Creator[NAMA KREATOR],Data_Creator[RATE KOMISI]," - ")</f>
        <v>0.12</v>
      </c>
      <c r="M10" s="18">
        <f>_xlfn.XLOOKUP(C10,Data_Creator[NAMA KREATOR],Data_Creator[TOTAL KOMISI (Rp)]," - ")</f>
        <v>18000000</v>
      </c>
      <c r="N10" s="62" t="str">
        <f>_xlfn.XLOOKUP(C10,Data_Creator[NAMA KREATOR],Data_Creator[STATUS PEMBAYARAN]," - ")</f>
        <v>Lunas</v>
      </c>
    </row>
    <row r="11" spans="2:15" ht="34.950000000000003" customHeight="1" x14ac:dyDescent="0.3">
      <c r="B11" s="31">
        <v>2</v>
      </c>
      <c r="C11" s="17" t="s">
        <v>2</v>
      </c>
      <c r="D11" s="17"/>
      <c r="E11" s="16" t="str">
        <f>_xlfn.XLOOKUP(C11,Data_Creator[NAMA KREATOR],Data_Creator[PLATFORM]," - ")</f>
        <v>TikTok</v>
      </c>
      <c r="F11" s="25" t="str">
        <f>_xlfn.XLOOKUP(C11,Data_Creator[NAMA KREATOR],Data_Creator[NAMA PRODUK]," - ")</f>
        <v>Paket Bundling Spicy (3 Varian)</v>
      </c>
      <c r="G11" s="25"/>
      <c r="H11" s="18">
        <f>_xlfn.XLOOKUP(C11,Data_Creator[NAMA KREATOR],Data_Creator[HARGA SATUAN]," - ")</f>
        <v>250000</v>
      </c>
      <c r="I11" s="19">
        <f>_xlfn.XLOOKUP(C11,Data_Creator[NAMA KREATOR],Data_Creator[PESANAN]," - ")</f>
        <v>1000</v>
      </c>
      <c r="J11" s="18">
        <f>_xlfn.XLOOKUP(C11,Data_Creator[NAMA KREATOR],Data_Creator[GMV (Rp.)]," - ")</f>
        <v>250000000</v>
      </c>
      <c r="K11" s="20">
        <f>_xlfn.XLOOKUP(C11,Data_Creator[NAMA KREATOR],Data_Creator[CONVERSION RATE]," - ")</f>
        <v>0.125</v>
      </c>
      <c r="L11" s="21">
        <f>_xlfn.XLOOKUP(C11,Data_Creator[NAMA KREATOR],Data_Creator[RATE KOMISI]," - ")</f>
        <v>0.12</v>
      </c>
      <c r="M11" s="18">
        <f>_xlfn.XLOOKUP(C11,Data_Creator[NAMA KREATOR],Data_Creator[TOTAL KOMISI (Rp)]," - ")</f>
        <v>30000000</v>
      </c>
      <c r="N11" s="62" t="str">
        <f>_xlfn.XLOOKUP(C11,Data_Creator[NAMA KREATOR],Data_Creator[STATUS PEMBAYARAN]," - ")</f>
        <v>Lunas</v>
      </c>
    </row>
    <row r="12" spans="2:15" ht="34.950000000000003" customHeight="1" x14ac:dyDescent="0.3">
      <c r="B12" s="31">
        <v>3</v>
      </c>
      <c r="C12" s="17" t="s">
        <v>3</v>
      </c>
      <c r="D12" s="17"/>
      <c r="E12" s="16" t="str">
        <f>_xlfn.XLOOKUP(C12,Data_Creator[NAMA KREATOR],Data_Creator[PLATFORM]," - ")</f>
        <v>TikTok</v>
      </c>
      <c r="F12" s="25" t="str">
        <f>_xlfn.XLOOKUP(C12,Data_Creator[NAMA KREATOR],Data_Creator[NAMA PRODUK]," - ")</f>
        <v>Bumbu Tabur Pedas Gila (500gr)</v>
      </c>
      <c r="G12" s="25"/>
      <c r="H12" s="18">
        <f>_xlfn.XLOOKUP(C12,Data_Creator[NAMA KREATOR],Data_Creator[HARGA SATUAN]," - ")</f>
        <v>80000</v>
      </c>
      <c r="I12" s="19">
        <f>_xlfn.XLOOKUP(C12,Data_Creator[NAMA KREATOR],Data_Creator[PESANAN]," - ")</f>
        <v>870</v>
      </c>
      <c r="J12" s="18">
        <f>_xlfn.XLOOKUP(C12,Data_Creator[NAMA KREATOR],Data_Creator[GMV (Rp.)]," - ")</f>
        <v>69600000</v>
      </c>
      <c r="K12" s="20">
        <f>_xlfn.XLOOKUP(C12,Data_Creator[NAMA KREATOR],Data_Creator[CONVERSION RATE]," - ")</f>
        <v>0.435</v>
      </c>
      <c r="L12" s="21">
        <f>_xlfn.XLOOKUP(C12,Data_Creator[NAMA KREATOR],Data_Creator[RATE KOMISI]," - ")</f>
        <v>0.1</v>
      </c>
      <c r="M12" s="18">
        <f>_xlfn.XLOOKUP(C12,Data_Creator[NAMA KREATOR],Data_Creator[TOTAL KOMISI (Rp)]," - ")</f>
        <v>6960000</v>
      </c>
      <c r="N12" s="62" t="str">
        <f>_xlfn.XLOOKUP(C12,Data_Creator[NAMA KREATOR],Data_Creator[STATUS PEMBAYARAN]," - ")</f>
        <v>Pending (Proses)</v>
      </c>
    </row>
    <row r="13" spans="2:15" ht="34.950000000000003" customHeight="1" x14ac:dyDescent="0.3">
      <c r="B13" s="31">
        <v>4</v>
      </c>
      <c r="C13" s="17" t="s">
        <v>4</v>
      </c>
      <c r="D13" s="17"/>
      <c r="E13" s="16" t="str">
        <f>_xlfn.XLOOKUP(C13,Data_Creator[NAMA KREATOR],Data_Creator[PLATFORM]," - ")</f>
        <v>TikTok</v>
      </c>
      <c r="F13" s="25" t="str">
        <f>_xlfn.XLOOKUP(C13,Data_Creator[NAMA KREATOR],Data_Creator[NAMA PRODUK]," - ")</f>
        <v>Miss Spicy Sambal Bawang</v>
      </c>
      <c r="G13" s="25"/>
      <c r="H13" s="18">
        <f>_xlfn.XLOOKUP(C13,Data_Creator[NAMA KREATOR],Data_Creator[HARGA SATUAN]," - ")</f>
        <v>75000</v>
      </c>
      <c r="I13" s="19">
        <f>_xlfn.XLOOKUP(C13,Data_Creator[NAMA KREATOR],Data_Creator[PESANAN]," - ")</f>
        <v>60</v>
      </c>
      <c r="J13" s="18">
        <f>_xlfn.XLOOKUP(C13,Data_Creator[NAMA KREATOR],Data_Creator[GMV (Rp.)]," - ")</f>
        <v>4500000</v>
      </c>
      <c r="K13" s="20">
        <f>_xlfn.XLOOKUP(C13,Data_Creator[NAMA KREATOR],Data_Creator[CONVERSION RATE]," - ")</f>
        <v>6.3157894736842107E-2</v>
      </c>
      <c r="L13" s="21">
        <f>_xlfn.XLOOKUP(C13,Data_Creator[NAMA KREATOR],Data_Creator[RATE KOMISI]," - ")</f>
        <v>0.1</v>
      </c>
      <c r="M13" s="18">
        <f>_xlfn.XLOOKUP(C13,Data_Creator[NAMA KREATOR],Data_Creator[TOTAL KOMISI (Rp)]," - ")</f>
        <v>450000</v>
      </c>
      <c r="N13" s="62" t="str">
        <f>_xlfn.XLOOKUP(C13,Data_Creator[NAMA KREATOR],Data_Creator[STATUS PEMBAYARAN]," - ")</f>
        <v>Lunas</v>
      </c>
    </row>
    <row r="14" spans="2:15" ht="34.950000000000003" customHeight="1" x14ac:dyDescent="0.3">
      <c r="B14" s="31">
        <v>5</v>
      </c>
      <c r="C14" s="17" t="s">
        <v>5</v>
      </c>
      <c r="D14" s="17"/>
      <c r="E14" s="16" t="str">
        <f>_xlfn.XLOOKUP(C14,Data_Creator[NAMA KREATOR],Data_Creator[PLATFORM]," - ")</f>
        <v>Shoppe</v>
      </c>
      <c r="F14" s="25" t="str">
        <f>_xlfn.XLOOKUP(C14,Data_Creator[NAMA KREATOR],Data_Creator[NAMA PRODUK]," - ")</f>
        <v>Paket Bundling Spicy (3 Varian)</v>
      </c>
      <c r="G14" s="25"/>
      <c r="H14" s="18">
        <f>_xlfn.XLOOKUP(C14,Data_Creator[NAMA KREATOR],Data_Creator[HARGA SATUAN]," - ")</f>
        <v>250000</v>
      </c>
      <c r="I14" s="19">
        <f>_xlfn.XLOOKUP(C14,Data_Creator[NAMA KREATOR],Data_Creator[PESANAN]," - ")</f>
        <v>70</v>
      </c>
      <c r="J14" s="18">
        <f>_xlfn.XLOOKUP(C14,Data_Creator[NAMA KREATOR],Data_Creator[GMV (Rp.)]," - ")</f>
        <v>17500000</v>
      </c>
      <c r="K14" s="20">
        <f>_xlfn.XLOOKUP(C14,Data_Creator[NAMA KREATOR],Data_Creator[CONVERSION RATE]," - ")</f>
        <v>7.7777777777777779E-2</v>
      </c>
      <c r="L14" s="21">
        <f>_xlfn.XLOOKUP(C14,Data_Creator[NAMA KREATOR],Data_Creator[RATE KOMISI]," - ")</f>
        <v>0.09</v>
      </c>
      <c r="M14" s="18">
        <f>_xlfn.XLOOKUP(C14,Data_Creator[NAMA KREATOR],Data_Creator[TOTAL KOMISI (Rp)]," - ")</f>
        <v>1575000</v>
      </c>
      <c r="N14" s="62" t="str">
        <f>_xlfn.XLOOKUP(C14,Data_Creator[NAMA KREATOR],Data_Creator[STATUS PEMBAYARAN]," - ")</f>
        <v>Pending (Proses)</v>
      </c>
    </row>
    <row r="15" spans="2:15" ht="34.950000000000003" customHeight="1" x14ac:dyDescent="0.3">
      <c r="B15" s="31">
        <v>6</v>
      </c>
      <c r="C15" s="17" t="s">
        <v>6</v>
      </c>
      <c r="D15" s="17"/>
      <c r="E15" s="16" t="str">
        <f>_xlfn.XLOOKUP(C15,Data_Creator[NAMA KREATOR],Data_Creator[PLATFORM]," - ")</f>
        <v>Shoppe</v>
      </c>
      <c r="F15" s="25" t="str">
        <f>_xlfn.XLOOKUP(C15,Data_Creator[NAMA KREATOR],Data_Creator[NAMA PRODUK]," - ")</f>
        <v>Miss Spicy Sambal Cumi (Botol Kaca)</v>
      </c>
      <c r="G15" s="25"/>
      <c r="H15" s="18">
        <f>_xlfn.XLOOKUP(C15,Data_Creator[NAMA KREATOR],Data_Creator[HARGA SATUAN]," - ")</f>
        <v>100000</v>
      </c>
      <c r="I15" s="19">
        <f>_xlfn.XLOOKUP(C15,Data_Creator[NAMA KREATOR],Data_Creator[PESANAN]," - ")</f>
        <v>120</v>
      </c>
      <c r="J15" s="18">
        <f>_xlfn.XLOOKUP(C15,Data_Creator[NAMA KREATOR],Data_Creator[GMV (Rp.)]," - ")</f>
        <v>12000000</v>
      </c>
      <c r="K15" s="20">
        <f>_xlfn.XLOOKUP(C15,Data_Creator[NAMA KREATOR],Data_Creator[CONVERSION RATE]," - ")</f>
        <v>0.1</v>
      </c>
      <c r="L15" s="21">
        <f>_xlfn.XLOOKUP(C15,Data_Creator[NAMA KREATOR],Data_Creator[RATE KOMISI]," - ")</f>
        <v>0.1</v>
      </c>
      <c r="M15" s="18">
        <f>_xlfn.XLOOKUP(C15,Data_Creator[NAMA KREATOR],Data_Creator[TOTAL KOMISI (Rp)]," - ")</f>
        <v>1200000</v>
      </c>
      <c r="N15" s="62" t="str">
        <f>_xlfn.XLOOKUP(C15,Data_Creator[NAMA KREATOR],Data_Creator[STATUS PEMBAYARAN]," - ")</f>
        <v>Pending (Proses)</v>
      </c>
    </row>
    <row r="16" spans="2:15" ht="34.950000000000003" customHeight="1" thickBot="1" x14ac:dyDescent="0.35">
      <c r="B16" s="56">
        <v>7</v>
      </c>
      <c r="C16" s="57" t="s">
        <v>41</v>
      </c>
      <c r="D16" s="57"/>
      <c r="E16" s="58" t="str">
        <f>_xlfn.XLOOKUP(C16,Data_Creator[NAMA KREATOR],Data_Creator[PLATFORM]," - ")</f>
        <v>Instagram</v>
      </c>
      <c r="F16" s="59" t="str">
        <f>_xlfn.XLOOKUP(C16,Data_Creator[NAMA KREATOR],Data_Creator[NAMA PRODUK]," - ")</f>
        <v>Miss Spicy Sambal Cumi (Botol Kaca)</v>
      </c>
      <c r="G16" s="59"/>
      <c r="H16" s="60">
        <f>_xlfn.XLOOKUP(C16,Data_Creator[NAMA KREATOR],Data_Creator[HARGA SATUAN]," - ")</f>
        <v>100000</v>
      </c>
      <c r="I16" s="33">
        <f>_xlfn.XLOOKUP(C16,Data_Creator[NAMA KREATOR],Data_Creator[PESANAN]," - ")</f>
        <v>300</v>
      </c>
      <c r="J16" s="32">
        <f>_xlfn.XLOOKUP(C16,Data_Creator[NAMA KREATOR],Data_Creator[GMV (Rp.)]," - ")</f>
        <v>30000000</v>
      </c>
      <c r="K16" s="34">
        <f>_xlfn.XLOOKUP(C16,Data_Creator[NAMA KREATOR],Data_Creator[CONVERSION RATE]," - ")</f>
        <v>0.06</v>
      </c>
      <c r="L16" s="35">
        <f>_xlfn.XLOOKUP(C16,Data_Creator[NAMA KREATOR],Data_Creator[RATE KOMISI]," - ")</f>
        <v>0.1</v>
      </c>
      <c r="M16" s="32">
        <f>_xlfn.XLOOKUP(C16,Data_Creator[NAMA KREATOR],Data_Creator[TOTAL KOMISI (Rp)]," - ")</f>
        <v>3000000</v>
      </c>
      <c r="N16" s="63" t="str">
        <f>_xlfn.XLOOKUP(C16,Data_Creator[NAMA KREATOR],Data_Creator[STATUS PEMBAYARAN]," - ")</f>
        <v>Lunas</v>
      </c>
    </row>
    <row r="17" spans="2:14" ht="34.950000000000003" customHeight="1" thickBot="1" x14ac:dyDescent="0.35">
      <c r="B17" s="49"/>
      <c r="C17" s="50" t="s">
        <v>45</v>
      </c>
      <c r="D17" s="50"/>
      <c r="E17" s="50"/>
      <c r="F17" s="50"/>
      <c r="G17" s="50"/>
      <c r="H17" s="51"/>
      <c r="I17" s="52">
        <f>SUM(I10:I16)</f>
        <v>3920</v>
      </c>
      <c r="J17" s="53">
        <f t="shared" ref="J17:M17" si="0">SUM(J10:J16)</f>
        <v>533600000</v>
      </c>
      <c r="K17" s="54"/>
      <c r="L17" s="54"/>
      <c r="M17" s="53">
        <f t="shared" si="0"/>
        <v>61185000</v>
      </c>
      <c r="N17" s="55"/>
    </row>
    <row r="19" spans="2:14" ht="18" x14ac:dyDescent="0.3">
      <c r="J19" s="61" t="s">
        <v>48</v>
      </c>
      <c r="K19" s="61"/>
      <c r="L19" s="61"/>
      <c r="M19" s="61"/>
      <c r="N19" s="61"/>
    </row>
    <row r="20" spans="2:14" ht="18" x14ac:dyDescent="0.3">
      <c r="J20" s="61" t="s">
        <v>46</v>
      </c>
      <c r="K20" s="61"/>
      <c r="L20" s="61"/>
      <c r="M20" s="61"/>
      <c r="N20" s="61"/>
    </row>
    <row r="21" spans="2:14" ht="18" x14ac:dyDescent="0.3">
      <c r="J21" s="61" t="s">
        <v>47</v>
      </c>
      <c r="K21" s="61"/>
      <c r="L21" s="61"/>
      <c r="M21" s="61"/>
      <c r="N21" s="61"/>
    </row>
  </sheetData>
  <mergeCells count="26">
    <mergeCell ref="G7:I7"/>
    <mergeCell ref="K7:N7"/>
    <mergeCell ref="C17:H17"/>
    <mergeCell ref="J19:N19"/>
    <mergeCell ref="J20:N20"/>
    <mergeCell ref="J21:N21"/>
    <mergeCell ref="C14:D14"/>
    <mergeCell ref="C15:D15"/>
    <mergeCell ref="C16:D16"/>
    <mergeCell ref="F10:G10"/>
    <mergeCell ref="F11:G11"/>
    <mergeCell ref="F12:G12"/>
    <mergeCell ref="F13:G13"/>
    <mergeCell ref="F14:G14"/>
    <mergeCell ref="F15:G15"/>
    <mergeCell ref="F16:G16"/>
    <mergeCell ref="C9:D9"/>
    <mergeCell ref="F9:G9"/>
    <mergeCell ref="C10:D10"/>
    <mergeCell ref="C11:D11"/>
    <mergeCell ref="C12:D12"/>
    <mergeCell ref="C13:D13"/>
    <mergeCell ref="B6:E6"/>
    <mergeCell ref="B7:E7"/>
    <mergeCell ref="K6:N6"/>
    <mergeCell ref="G6:I6"/>
  </mergeCells>
  <conditionalFormatting sqref="N10:N16">
    <cfRule type="cellIs" dxfId="3" priority="1" operator="equal">
      <formula>"Pending (Proses)"</formula>
    </cfRule>
    <cfRule type="cellIs" dxfId="2" priority="2" operator="equal">
      <formula>"Lunas"</formula>
    </cfRule>
  </conditionalFormatting>
  <pageMargins left="0.7" right="0.7" top="0.75" bottom="0.75" header="0.3" footer="0.3"/>
  <pageSetup paperSize="9" scale="3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670EBF-0036-430E-9539-450F25109B6D}">
          <x14:formula1>
            <xm:f>Database!$C$4:$C$15</xm:f>
          </x14:formula1>
          <xm:sqref>C10:D16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Database</vt:lpstr>
      <vt:lpstr>Laporan</vt:lpstr>
      <vt:lpstr>Laporan!Print_Area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Rizky Faisal Rafi</dc:creator>
  <cp:lastModifiedBy>Rizky Faisal Rafi</cp:lastModifiedBy>
  <cp:lastPrinted>2026-09-02T04:54:50Z</cp:lastPrinted>
  <dcterms:created xsi:type="dcterms:W3CDTF">2026-09-02T02:10:46Z</dcterms:created>
  <dcterms:modified xsi:type="dcterms:W3CDTF">2026-09-02T04:55:15Z</dcterms:modified>
</cp:coreProperties>
</file>