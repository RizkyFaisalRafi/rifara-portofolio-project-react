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cel\"/>
    </mc:Choice>
  </mc:AlternateContent>
  <xr:revisionPtr revIDLastSave="0" documentId="13_ncr:1_{189BACA0-9D2B-4C3B-84D5-2E8A2CA8C490}" xr6:coauthVersionLast="47" xr6:coauthVersionMax="47" xr10:uidLastSave="{00000000-0000-0000-0000-000000000000}"/>
  <bookViews>
    <workbookView xWindow="-108" yWindow="-108" windowWidth="23256" windowHeight="13176" xr2:uid="{A32F1183-5612-4EAE-902F-BFC34A93163E}"/>
  </bookViews>
  <sheets>
    <sheet name="Faktur Template" sheetId="1" r:id="rId1"/>
    <sheet name="Data Pelanggan &amp; Barang" sheetId="2" r:id="rId2"/>
  </sheets>
  <definedNames>
    <definedName name="LIST_DATA_BARANG">'Data Pelanggan &amp; Barang'!$H$5:$K$14</definedName>
    <definedName name="LIST_DATA_PELANGGAN">'Data Pelanggan &amp; Barang'!$C$5:$E$14</definedName>
    <definedName name="LIST_KODE_DATABARANG">'Data Pelanggan &amp; Barang'!$H$5:$H$14</definedName>
    <definedName name="LIST_NAMA_PELANGGAN">'Data Pelanggan &amp; Barang'!$C$4:$C$14</definedName>
    <definedName name="_xlnm.Print_Area" localSheetId="0">'Faktur Template'!$A$1:$K$39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7" i="1" l="1"/>
  <c r="I26" i="1"/>
  <c r="I25" i="1"/>
  <c r="I24" i="1"/>
  <c r="E15" i="1"/>
  <c r="G15" i="1"/>
  <c r="I15" i="1" s="1"/>
  <c r="H15" i="1"/>
  <c r="E16" i="1"/>
  <c r="G16" i="1"/>
  <c r="H16" i="1"/>
  <c r="I16" i="1"/>
  <c r="E17" i="1"/>
  <c r="G17" i="1"/>
  <c r="H17" i="1"/>
  <c r="I17" i="1" s="1"/>
  <c r="E18" i="1"/>
  <c r="G18" i="1"/>
  <c r="H18" i="1"/>
  <c r="I18" i="1" s="1"/>
  <c r="E19" i="1"/>
  <c r="G19" i="1"/>
  <c r="I19" i="1" s="1"/>
  <c r="H19" i="1"/>
  <c r="E20" i="1"/>
  <c r="G20" i="1"/>
  <c r="H20" i="1"/>
  <c r="I20" i="1"/>
  <c r="E21" i="1"/>
  <c r="G21" i="1"/>
  <c r="I21" i="1" s="1"/>
  <c r="H21" i="1"/>
  <c r="E22" i="1"/>
  <c r="G22" i="1"/>
  <c r="H22" i="1"/>
  <c r="I22" i="1" s="1"/>
  <c r="E23" i="1"/>
  <c r="G23" i="1"/>
  <c r="I23" i="1" s="1"/>
  <c r="H23" i="1"/>
  <c r="G14" i="1"/>
  <c r="I14" i="1" s="1"/>
  <c r="H14" i="1"/>
  <c r="E14" i="1"/>
  <c r="H9" i="1"/>
  <c r="H8" i="1"/>
  <c r="H5" i="1"/>
  <c r="K6" i="2"/>
  <c r="K7" i="2"/>
  <c r="K8" i="2"/>
  <c r="K9" i="2"/>
  <c r="K10" i="2"/>
  <c r="K11" i="2"/>
  <c r="K12" i="2"/>
  <c r="K13" i="2"/>
  <c r="K14" i="2"/>
  <c r="K5" i="2"/>
  <c r="J6" i="2"/>
  <c r="J7" i="2"/>
  <c r="J8" i="2"/>
  <c r="J9" i="2"/>
  <c r="J10" i="2"/>
  <c r="J11" i="2"/>
  <c r="J12" i="2"/>
  <c r="J13" i="2"/>
  <c r="J14" i="2"/>
  <c r="J5" i="2"/>
  <c r="I6" i="2"/>
  <c r="I7" i="2"/>
  <c r="I8" i="2"/>
  <c r="I9" i="2"/>
  <c r="I10" i="2"/>
  <c r="I11" i="2"/>
  <c r="I12" i="2"/>
  <c r="I13" i="2"/>
  <c r="I14" i="2"/>
  <c r="I5" i="2"/>
  <c r="D6" i="2"/>
  <c r="D7" i="2"/>
  <c r="D8" i="2"/>
  <c r="D9" i="2"/>
  <c r="D10" i="2"/>
  <c r="D11" i="2"/>
  <c r="D12" i="2"/>
  <c r="D13" i="2"/>
  <c r="D14" i="2"/>
  <c r="D5" i="2"/>
  <c r="C6" i="2"/>
  <c r="C7" i="2"/>
  <c r="C8" i="2"/>
  <c r="C9" i="2"/>
  <c r="C10" i="2"/>
  <c r="C11" i="2"/>
  <c r="C12" i="2"/>
  <c r="C13" i="2"/>
  <c r="C14" i="2"/>
  <c r="C5" i="2"/>
</calcChain>
</file>

<file path=xl/sharedStrings.xml><?xml version="1.0" encoding="utf-8"?>
<sst xmlns="http://schemas.openxmlformats.org/spreadsheetml/2006/main" count="61" uniqueCount="50">
  <si>
    <t>FAKTUR INVOICE</t>
  </si>
  <si>
    <t>KOTA TANGERANG</t>
  </si>
  <si>
    <t>JL. MERDEKA INDONESIA</t>
  </si>
  <si>
    <t>XXXXXXXXXXXXXXXXXX</t>
  </si>
  <si>
    <t xml:space="preserve">Nomor Faktur : </t>
  </si>
  <si>
    <t>001</t>
  </si>
  <si>
    <t>No.</t>
  </si>
  <si>
    <t>Kode</t>
  </si>
  <si>
    <t>Nama Barang</t>
  </si>
  <si>
    <t>Jumlah</t>
  </si>
  <si>
    <t>Harga Satuan</t>
  </si>
  <si>
    <t>Diskon</t>
  </si>
  <si>
    <t>Total</t>
  </si>
  <si>
    <t>Sub Total</t>
  </si>
  <si>
    <t>Total Diskon</t>
  </si>
  <si>
    <t>Pajak 10%</t>
  </si>
  <si>
    <t>Yang Dibayar</t>
  </si>
  <si>
    <t>NAMA PELANGGAN</t>
  </si>
  <si>
    <t>ALAMAT</t>
  </si>
  <si>
    <t>KONTAK</t>
  </si>
  <si>
    <t>KODE</t>
  </si>
  <si>
    <t>BARANG</t>
  </si>
  <si>
    <t>HARGA</t>
  </si>
  <si>
    <t>DISKON</t>
  </si>
  <si>
    <t>NO.</t>
  </si>
  <si>
    <t>DATA PELANGGAN</t>
  </si>
  <si>
    <t>DATA BARANG</t>
  </si>
  <si>
    <t>xxx-xxxxxxx1</t>
  </si>
  <si>
    <t>xxx-xxxxxxx2</t>
  </si>
  <si>
    <t>xxx-xxxxxxx3</t>
  </si>
  <si>
    <t>xxx-xxxxxxx4</t>
  </si>
  <si>
    <t>xxx-xxxxxxx5</t>
  </si>
  <si>
    <t>xxx-xxxxxxx6</t>
  </si>
  <si>
    <t>xxx-xxxxxxx7</t>
  </si>
  <si>
    <t>xxx-xxxxxxx8</t>
  </si>
  <si>
    <t>xxx-xxxxxxx9</t>
  </si>
  <si>
    <t>xxx-xxxxxxx10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</si>
  <si>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</si>
  <si>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</si>
  <si>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</si>
  <si>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</si>
  <si>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</si>
  <si>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</si>
  <si>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</si>
  <si>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</si>
  <si>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</si>
  <si>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</si>
  <si>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Kepada Yth.</t>
  </si>
  <si>
    <t>PT. TEKNO BERSAMA</t>
  </si>
  <si>
    <t>PT. BESMART INDONESIA GEMILANG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</si>
</sst>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??_-;_-@_-"/>
  </numFmts>
  <fonts count="6" x14ac:knownFonts="1">
    <font>
      <sz val="11"/>
      <color theme="1"/>
      <name val="Aptos Narrow"/>
      <family val="2"/>
      <charset val="1"/>
      <scheme val="minor"/>
    </font>
    <font>
      <sz val="11"/>
      <color theme="1"/>
      <name val="Tahoma"/>
      <family val="2"/>
    </font>
    <font>
      <b/>
      <sz val="20"/>
      <color theme="1"/>
      <name val="Tahoma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Tahoma"/>
      <family val="2"/>
    </font>
    <font>
      <sz val="8"/>
      <name val="Aptos Narrow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2" xfId="0" applyFont="1" applyBorder="1"/>
    <xf numFmtId="0" fontId="1" fillId="0" borderId="1" xfId="0" applyFont="1" applyBorder="1"/>
    <xf numFmtId="0" fontId="1" fillId="0" borderId="6" xfId="0" applyFont="1" applyBorder="1"/>
    <xf numFmtId="0" fontId="1" fillId="0" borderId="3" xfId="0" applyFont="1" applyBorder="1"/>
    <xf numFmtId="0" fontId="1" fillId="0" borderId="7" xfId="0" applyFont="1" applyBorder="1"/>
    <xf numFmtId="0" fontId="1" fillId="0" borderId="0" xfId="0" applyFont="1"/>
    <xf numFmtId="49" fontId="1" fillId="0" borderId="0" xfId="0" quotePrefix="1" applyNumberFormat="1" applyFont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0" fontId="1" fillId="0" borderId="8" xfId="0" applyFont="1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 indent="1"/>
    </xf>
    <xf numFmtId="0" fontId="1" fillId="2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4" fontId="1" fillId="3" borderId="9" xfId="0" applyNumberFormat="1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right" vertical="center" indent="2"/>
    </xf>
    <xf numFmtId="164" fontId="4" fillId="4" borderId="9" xfId="0" applyNumberFormat="1" applyFont="1" applyFill="1" applyBorder="1" applyAlignment="1">
      <alignment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64" fontId="0" fillId="5" borderId="9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598188</xdr:colOff>
      <xdr:row>29</xdr:row>
      <xdr:rowOff>128658</xdr:rowOff>
    </xdr:from>
    <xdr:to>
      <xdr:col>4</xdr:col>
      <xdr:colOff>1049252</xdr:colOff>
      <xdr:row>37</xdr:row>
      <xdr:rowOff>176159</xdr:rowOff>
    </xdr:to>
    <xdr:grpSp>
      <xdr:nvGrpSpPr>
        <xdr:cNvPr id="7" name="Group 7">
          <a:extLst>
            <a:ext uri="{FF2B5EF4-FFF2-40B4-BE49-F238E27FC236}">
              <a16:creationId xmlns:a16="http://schemas.microsoft.com/office/drawing/2014/main" id="{9FBC764C-93D6-48D5-B035-8E660A82F50E}"/>
            </a:ext>
          </a:extLst>
        </xdr:cNvPr>
        <xdr:cNvGrpSpPr>
          <a:grpSpLocks/>
        </xdr:cNvGrpSpPr>
      </xdr:nvGrpSpPr>
      <xdr:grpSpPr bwMode="auto">
        <a:xfrm>
          <a:off x="722879" y="6224658"/>
          <a:ext cx="2653937" cy="1488374"/>
          <a:chOff x="7162797" y="3971926"/>
          <a:chExt cx="2581275" cy="1371600"/>
        </a:xfrm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D946D5F-ABAD-6AFF-BEC2-5DF21CD22D5E}"/>
              </a:ext>
            </a:extLst>
          </xdr:cNvPr>
          <xdr:cNvSpPr txBox="1"/>
        </xdr:nvSpPr>
        <xdr:spPr>
          <a:xfrm>
            <a:off x="7162797" y="3971926"/>
            <a:ext cx="2581275" cy="1371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Penerima/Pembeli</a:t>
            </a:r>
          </a:p>
          <a:p>
            <a:pPr algn="ctr"/>
            <a:endPara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endPara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endPara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endPara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r>
              <a:rPr lang="id-ID" sz="12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GIBRAN</a:t>
            </a:r>
            <a:r>
              <a:rPr lang="id-ID" sz="12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RAKA</a:t>
            </a:r>
            <a:endParaRPr lang="en-US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C1388CB1-5728-775E-98A3-FE37AC414FE3}"/>
              </a:ext>
            </a:extLst>
          </xdr:cNvPr>
          <xdr:cNvCxnSpPr/>
        </xdr:nvCxnSpPr>
        <xdr:spPr>
          <a:xfrm>
            <a:off x="7192468" y="5179219"/>
            <a:ext cx="2521935" cy="0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348344</xdr:colOff>
      <xdr:row>29</xdr:row>
      <xdr:rowOff>128658</xdr:rowOff>
    </xdr:from>
    <xdr:to>
      <xdr:col>8</xdr:col>
      <xdr:colOff>1984277</xdr:colOff>
      <xdr:row>37</xdr:row>
      <xdr:rowOff>176159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39492E77-0CF4-45CD-98C7-D3ADEEC68DA3}"/>
            </a:ext>
          </a:extLst>
        </xdr:cNvPr>
        <xdr:cNvGrpSpPr>
          <a:grpSpLocks/>
        </xdr:cNvGrpSpPr>
      </xdr:nvGrpSpPr>
      <xdr:grpSpPr bwMode="auto">
        <a:xfrm>
          <a:off x="4906489" y="6224658"/>
          <a:ext cx="4337570" cy="1488374"/>
          <a:chOff x="7162800" y="3971925"/>
          <a:chExt cx="2581275" cy="13716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288A1A7F-5E00-BC12-9D8E-C594C8F3CFA8}"/>
              </a:ext>
            </a:extLst>
          </xdr:cNvPr>
          <xdr:cNvSpPr txBox="1"/>
        </xdr:nvSpPr>
        <xdr:spPr>
          <a:xfrm>
            <a:off x="7162800" y="3971925"/>
            <a:ext cx="2581275" cy="1371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Hormat Kami</a:t>
            </a:r>
          </a:p>
          <a:p>
            <a:pPr algn="ctr"/>
            <a:endPara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endPara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endPara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endPara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r>
              <a:rPr lang="id-ID" sz="12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RIZKY</a:t>
            </a:r>
            <a:r>
              <a:rPr lang="id-ID" sz="12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FAISAL RAFI</a:t>
            </a:r>
          </a:p>
        </xdr:txBody>
      </xdr: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351A1E55-EC89-F783-3214-AF9AFAFE2A35}"/>
              </a:ext>
            </a:extLst>
          </xdr:cNvPr>
          <xdr:cNvCxnSpPr/>
        </xdr:nvCxnSpPr>
        <xdr:spPr>
          <a:xfrm>
            <a:off x="7187700" y="5179219"/>
            <a:ext cx="2531475" cy="0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203E-F35A-47A5-8955-C433717C9012}">
  <dimension ref="B1:J38"/>
  <sheetViews>
    <sheetView tabSelected="1" zoomScale="55" zoomScaleNormal="55" workbookViewId="0">
      <selection activeCell="W20" sqref="W20"/>
    </sheetView>
  </sheetViews>
  <sheetFormatPr defaultRowHeight="14.4" x14ac:dyDescent="0.3"/>
  <cols>
    <col min="1" max="1" width="1.77734375" customWidth="1"/>
    <col min="2" max="2" width="8.88671875" customWidth="1"/>
    <col min="3" max="3" width="6" customWidth="1"/>
    <col min="4" max="4" width="17.109375" customWidth="1"/>
    <col min="5" max="5" width="21.88671875" customWidth="1"/>
    <col min="6" max="6" width="10.6640625" customWidth="1"/>
    <col min="7" max="7" width="19.21875" customWidth="1"/>
    <col min="8" max="8" width="20.21875" customWidth="1"/>
    <col min="9" max="9" width="29.21875" customWidth="1"/>
    <col min="11" max="11" width="1.77734375" customWidth="1"/>
  </cols>
  <sheetData>
    <row r="1" spans="2:10" ht="15" thickBot="1" x14ac:dyDescent="0.35"/>
    <row r="2" spans="2:10" x14ac:dyDescent="0.3">
      <c r="B2" s="1"/>
      <c r="C2" s="2"/>
      <c r="D2" s="2"/>
      <c r="E2" s="2"/>
      <c r="F2" s="2"/>
      <c r="G2" s="2"/>
      <c r="H2" s="2"/>
      <c r="I2" s="2"/>
      <c r="J2" s="3"/>
    </row>
    <row r="3" spans="2:10" ht="24.6" x14ac:dyDescent="0.4">
      <c r="B3" s="4"/>
      <c r="C3" s="14" t="s">
        <v>0</v>
      </c>
      <c r="D3" s="14"/>
      <c r="E3" s="14"/>
      <c r="F3" s="14"/>
      <c r="G3" s="14"/>
      <c r="H3" s="14"/>
      <c r="I3" s="14"/>
      <c r="J3" s="5"/>
    </row>
    <row r="4" spans="2:10" ht="23.4" customHeight="1" x14ac:dyDescent="0.3">
      <c r="B4" s="4"/>
      <c r="C4" s="6"/>
      <c r="D4" s="6"/>
      <c r="E4" s="6"/>
      <c r="F4" s="6"/>
      <c r="G4" s="6"/>
      <c r="H4" s="6"/>
      <c r="I4" s="6"/>
      <c r="J4" s="5"/>
    </row>
    <row r="5" spans="2:10" ht="36.6" customHeight="1" x14ac:dyDescent="0.3">
      <c r="B5" s="4"/>
      <c r="C5" s="6"/>
      <c r="D5" s="6"/>
      <c r="E5" s="6"/>
      <c r="F5" s="6"/>
      <c r="G5" s="6"/>
      <c r="H5" s="16" t="str">
        <f ca="1">"Kota Tangerang, "&amp;TEXT(TODAY(),"DD MMMM YYYY")</f>
        <v>Kota Tangerang, 08 Agustus 2026</v>
      </c>
      <c r="I5" s="16"/>
      <c r="J5" s="5"/>
    </row>
    <row r="6" spans="2:10" x14ac:dyDescent="0.3">
      <c r="B6" s="4"/>
      <c r="C6" s="13" t="s">
        <v>49</v>
      </c>
      <c r="D6" s="13"/>
      <c r="E6" s="13"/>
      <c r="F6" s="6"/>
      <c r="G6" s="6"/>
      <c r="H6" s="16" t="s">
        <v>47</v>
      </c>
      <c r="I6" s="16"/>
      <c r="J6" s="5"/>
    </row>
    <row r="7" spans="2:10" x14ac:dyDescent="0.3">
      <c r="B7" s="4"/>
      <c r="C7" s="13" t="s">
        <v>2</v>
      </c>
      <c r="D7" s="13"/>
      <c r="E7" s="13"/>
      <c r="F7" s="6"/>
      <c r="G7" s="6"/>
      <c r="H7" s="16" t="s">
        <v>48</v>
      </c>
      <c r="I7" s="16"/>
      <c r="J7" s="5"/>
    </row>
    <row r="8" spans="2:10" x14ac:dyDescent="0.3">
      <c r="B8" s="4"/>
      <c r="C8" s="13" t="s">
        <v>1</v>
      </c>
      <c r="D8" s="13"/>
      <c r="E8" s="13"/>
      <c r="F8" s="6"/>
      <c r="G8" s="6"/>
      <c r="H8" s="16" t="str">
        <f>VLOOKUP(H7,LIST_DATA_PELANGGAN,2,FALSE)</f>
        <v>Jakarta Pusat</v>
      </c>
      <c r="I8" s="16"/>
      <c r="J8" s="5"/>
    </row>
    <row r="9" spans="2:10" x14ac:dyDescent="0.3">
      <c r="B9" s="4"/>
      <c r="C9" s="13" t="s">
        <v>3</v>
      </c>
      <c r="D9" s="13"/>
      <c r="E9" s="13"/>
      <c r="F9" s="6"/>
      <c r="G9" s="6"/>
      <c r="H9" s="16" t="str">
        <f>VLOOKUP(H7,LIST_DATA_PELANGGAN,3,FALSE)</f>
        <v>xxx-xxxxxxx1</v>
      </c>
      <c r="I9" s="16"/>
      <c r="J9" s="5"/>
    </row>
    <row r="10" spans="2:10" x14ac:dyDescent="0.3">
      <c r="B10" s="4"/>
      <c r="C10" s="6"/>
      <c r="D10" s="6"/>
      <c r="E10" s="6"/>
      <c r="F10" s="6"/>
      <c r="G10" s="6"/>
      <c r="J10" s="5"/>
    </row>
    <row r="11" spans="2:10" x14ac:dyDescent="0.3">
      <c r="B11" s="4"/>
      <c r="C11" s="13" t="s">
        <v>4</v>
      </c>
      <c r="D11" s="13"/>
      <c r="E11" s="7" t="s">
        <v>5</v>
      </c>
      <c r="F11" s="6"/>
      <c r="G11" s="6"/>
      <c r="H11" s="15"/>
      <c r="I11" s="15"/>
      <c r="J11" s="5"/>
    </row>
    <row r="12" spans="2:10" ht="15" thickBot="1" x14ac:dyDescent="0.35">
      <c r="B12" s="4"/>
      <c r="C12" s="6"/>
      <c r="D12" s="6"/>
      <c r="E12" s="6"/>
      <c r="F12" s="6"/>
      <c r="G12" s="6"/>
      <c r="H12" s="6"/>
      <c r="I12" s="6"/>
      <c r="J12" s="5"/>
    </row>
    <row r="13" spans="2:10" ht="23.4" customHeight="1" thickBot="1" x14ac:dyDescent="0.35">
      <c r="B13" s="4"/>
      <c r="C13" s="8" t="s">
        <v>6</v>
      </c>
      <c r="D13" s="8" t="s">
        <v>7</v>
      </c>
      <c r="E13" s="8" t="s">
        <v>8</v>
      </c>
      <c r="F13" s="8" t="s">
        <v>9</v>
      </c>
      <c r="G13" s="8" t="s">
        <v>10</v>
      </c>
      <c r="H13" s="8" t="s">
        <v>11</v>
      </c>
      <c r="I13" s="8" t="s">
        <v>12</v>
      </c>
      <c r="J13" s="5"/>
    </row>
    <row r="14" spans="2:10" ht="15" thickBot="1" x14ac:dyDescent="0.35">
      <c r="B14" s="4"/>
      <c r="C14" s="17">
        <v>1</v>
      </c>
      <c r="D14" s="18" t="s">
        <v>37</v>
      </c>
      <c r="E14" s="18" t="str">
        <f>IFERROR(VLOOKUP(D14,LIST_DATA_BARANG,2,FALSE),"Terjadi Kesalahan")</f>
        <v>Mouse Gaming</v>
      </c>
      <c r="F14" s="18">
        <v>1</v>
      </c>
      <c r="G14" s="19">
        <f>IFERROR(VLOOKUP(D14,LIST_DATA_BARANG,3,FALSE),"Terjadi Kesalahan")</f>
        <v>129000</v>
      </c>
      <c r="H14" s="19">
        <f>IFERROR(IF(F14&lt;1,0,VLOOKUP(D14,LIST_DATA_BARANG,4,FALSE)),"Terjadi Kesalahan")</f>
        <v>10000</v>
      </c>
      <c r="I14" s="19">
        <f>IFERROR(F14*G14-H14,"Terjadi Kesalahan")</f>
        <v>119000</v>
      </c>
      <c r="J14" s="5"/>
    </row>
    <row r="15" spans="2:10" ht="15" thickBot="1" x14ac:dyDescent="0.35">
      <c r="B15" s="4"/>
      <c r="C15" s="17">
        <v>2</v>
      </c>
      <c r="D15" s="18" t="s">
        <v>38</v>
      </c>
      <c r="E15" s="18" t="str">
        <f>IFERROR(VLOOKUP(D15,LIST_DATA_BARANG,2,FALSE),"Terjadi Kesalahan")</f>
        <v>Keyboard</v>
      </c>
      <c r="F15" s="18">
        <v>2</v>
      </c>
      <c r="G15" s="19">
        <f>IFERROR(VLOOKUP(D15,LIST_DATA_BARANG,3,FALSE),"Terjadi Kesalahan")</f>
        <v>139000</v>
      </c>
      <c r="H15" s="19">
        <f>IFERROR(IF(F15&lt;1,0,VLOOKUP(D15,LIST_DATA_BARANG,4,FALSE)),"Terjadi Kesalahan")</f>
        <v>10000</v>
      </c>
      <c r="I15" s="19">
        <f t="shared" ref="I15:I23" si="0">IFERROR(F15*G15-H15,"Terjadi Kesalahan")</f>
        <v>268000</v>
      </c>
      <c r="J15" s="5"/>
    </row>
    <row r="16" spans="2:10" ht="15" thickBot="1" x14ac:dyDescent="0.35">
      <c r="B16" s="4"/>
      <c r="C16" s="17">
        <v>3</v>
      </c>
      <c r="D16" s="18" t="s">
        <v>39</v>
      </c>
      <c r="E16" s="18" t="str">
        <f>IFERROR(VLOOKUP(D16,LIST_DATA_BARANG,2,FALSE),"Terjadi Kesalahan")</f>
        <v>Tas Laptop</v>
      </c>
      <c r="F16" s="18">
        <v>3</v>
      </c>
      <c r="G16" s="19">
        <f>IFERROR(VLOOKUP(D16,LIST_DATA_BARANG,3,FALSE),"Terjadi Kesalahan")</f>
        <v>130000</v>
      </c>
      <c r="H16" s="19">
        <f>IFERROR(IF(F16&lt;1,0,VLOOKUP(D16,LIST_DATA_BARANG,4,FALSE)),"Terjadi Kesalahan")</f>
        <v>15000</v>
      </c>
      <c r="I16" s="19">
        <f t="shared" si="0"/>
        <v>375000</v>
      </c>
      <c r="J16" s="5"/>
    </row>
    <row r="17" spans="2:10" ht="15" thickBot="1" x14ac:dyDescent="0.35">
      <c r="B17" s="4"/>
      <c r="C17" s="17">
        <v>4</v>
      </c>
      <c r="D17" s="18" t="s">
        <v>40</v>
      </c>
      <c r="E17" s="18" t="str">
        <f>IFERROR(VLOOKUP(D17,LIST_DATA_BARANG,2,FALSE),"Terjadi Kesalahan")</f>
        <v>Cooling Pad Laptop</v>
      </c>
      <c r="F17" s="18">
        <v>4</v>
      </c>
      <c r="G17" s="19">
        <f>IFERROR(VLOOKUP(D17,LIST_DATA_BARANG,3,FALSE),"Terjadi Kesalahan")</f>
        <v>170000</v>
      </c>
      <c r="H17" s="19">
        <f>IFERROR(IF(F17&lt;1,0,VLOOKUP(D17,LIST_DATA_BARANG,4,FALSE)),"Terjadi Kesalahan")</f>
        <v>12000</v>
      </c>
      <c r="I17" s="19">
        <f t="shared" si="0"/>
        <v>668000</v>
      </c>
      <c r="J17" s="5"/>
    </row>
    <row r="18" spans="2:10" ht="15" thickBot="1" x14ac:dyDescent="0.35">
      <c r="B18" s="4"/>
      <c r="C18" s="17">
        <v>5</v>
      </c>
      <c r="D18" s="18" t="s">
        <v>41</v>
      </c>
      <c r="E18" s="18" t="str">
        <f>IFERROR(VLOOKUP(D18,LIST_DATA_BARANG,2,FALSE),"Terjadi Kesalahan")</f>
        <v>Hardisk Eksternal</v>
      </c>
      <c r="F18" s="18">
        <v>5</v>
      </c>
      <c r="G18" s="19">
        <f>IFERROR(VLOOKUP(D18,LIST_DATA_BARANG,3,FALSE),"Terjadi Kesalahan")</f>
        <v>600000</v>
      </c>
      <c r="H18" s="19">
        <f>IFERROR(IF(F18&lt;1,0,VLOOKUP(D18,LIST_DATA_BARANG,4,FALSE)),"Terjadi Kesalahan")</f>
        <v>100000</v>
      </c>
      <c r="I18" s="19">
        <f t="shared" si="0"/>
        <v>2900000</v>
      </c>
      <c r="J18" s="5"/>
    </row>
    <row r="19" spans="2:10" ht="15" thickBot="1" x14ac:dyDescent="0.35">
      <c r="B19" s="4"/>
      <c r="C19" s="17">
        <v>6</v>
      </c>
      <c r="D19" s="18" t="s">
        <v>42</v>
      </c>
      <c r="E19" s="18" t="str">
        <f>IFERROR(VLOOKUP(D19,LIST_DATA_BARANG,2,FALSE),"Terjadi Kesalahan")</f>
        <v>Speaker Gaming</v>
      </c>
      <c r="F19" s="18">
        <v>6</v>
      </c>
      <c r="G19" s="19">
        <f>IFERROR(VLOOKUP(D19,LIST_DATA_BARANG,3,FALSE),"Terjadi Kesalahan")</f>
        <v>200000</v>
      </c>
      <c r="H19" s="19">
        <f>IFERROR(IF(F19&lt;1,0,VLOOKUP(D19,LIST_DATA_BARANG,4,FALSE)),"Terjadi Kesalahan")</f>
        <v>20000</v>
      </c>
      <c r="I19" s="19">
        <f t="shared" si="0"/>
        <v>1180000</v>
      </c>
      <c r="J19" s="5"/>
    </row>
    <row r="20" spans="2:10" ht="15" thickBot="1" x14ac:dyDescent="0.35">
      <c r="B20" s="4"/>
      <c r="C20" s="17">
        <v>7</v>
      </c>
      <c r="D20" s="18" t="s">
        <v>43</v>
      </c>
      <c r="E20" s="18" t="str">
        <f>IFERROR(VLOOKUP(D20,LIST_DATA_BARANG,2,FALSE),"Terjadi Kesalahan")</f>
        <v>Headset Gaming</v>
      </c>
      <c r="F20" s="18">
        <v>7</v>
      </c>
      <c r="G20" s="19">
        <f>IFERROR(VLOOKUP(D20,LIST_DATA_BARANG,3,FALSE),"Terjadi Kesalahan")</f>
        <v>500000</v>
      </c>
      <c r="H20" s="19">
        <f>IFERROR(IF(F20&lt;1,0,VLOOKUP(D20,LIST_DATA_BARANG,4,FALSE)),"Terjadi Kesalahan")</f>
        <v>50000</v>
      </c>
      <c r="I20" s="19">
        <f t="shared" si="0"/>
        <v>3450000</v>
      </c>
      <c r="J20" s="5"/>
    </row>
    <row r="21" spans="2:10" ht="15" thickBot="1" x14ac:dyDescent="0.35">
      <c r="B21" s="4"/>
      <c r="C21" s="17">
        <v>8</v>
      </c>
      <c r="D21" s="18" t="s">
        <v>44</v>
      </c>
      <c r="E21" s="18" t="str">
        <f>IFERROR(VLOOKUP(D21,LIST_DATA_BARANG,2,FALSE),"Terjadi Kesalahan")</f>
        <v>Mouse Wireless</v>
      </c>
      <c r="F21" s="18">
        <v>8</v>
      </c>
      <c r="G21" s="19">
        <f>IFERROR(VLOOKUP(D21,LIST_DATA_BARANG,3,FALSE),"Terjadi Kesalahan")</f>
        <v>135000</v>
      </c>
      <c r="H21" s="19">
        <f>IFERROR(IF(F21&lt;1,0,VLOOKUP(D21,LIST_DATA_BARANG,4,FALSE)),"Terjadi Kesalahan")</f>
        <v>9000</v>
      </c>
      <c r="I21" s="19">
        <f t="shared" si="0"/>
        <v>1071000</v>
      </c>
      <c r="J21" s="5"/>
    </row>
    <row r="22" spans="2:10" ht="15" thickBot="1" x14ac:dyDescent="0.35">
      <c r="B22" s="4"/>
      <c r="C22" s="17">
        <v>9</v>
      </c>
      <c r="D22" s="18" t="s">
        <v>45</v>
      </c>
      <c r="E22" s="18" t="str">
        <f>IFERROR(VLOOKUP(D22,LIST_DATA_BARANG,2,FALSE),"Terjadi Kesalahan")</f>
        <v>Monitor LED</v>
      </c>
      <c r="F22" s="18">
        <v>9</v>
      </c>
      <c r="G22" s="19">
        <f>IFERROR(VLOOKUP(D22,LIST_DATA_BARANG,3,FALSE),"Terjadi Kesalahan")</f>
        <v>1391000</v>
      </c>
      <c r="H22" s="19">
        <f>IFERROR(IF(F22&lt;1,0,VLOOKUP(D22,LIST_DATA_BARANG,4,FALSE)),"Terjadi Kesalahan")</f>
        <v>300000</v>
      </c>
      <c r="I22" s="19">
        <f t="shared" si="0"/>
        <v>12219000</v>
      </c>
      <c r="J22" s="5"/>
    </row>
    <row r="23" spans="2:10" ht="15" thickBot="1" x14ac:dyDescent="0.35">
      <c r="B23" s="4"/>
      <c r="C23" s="17">
        <v>10</v>
      </c>
      <c r="D23" s="18" t="s">
        <v>46</v>
      </c>
      <c r="E23" s="18" t="str">
        <f>IFERROR(VLOOKUP(D23,LIST_DATA_BARANG,2,FALSE),"Terjadi Kesalahan")</f>
        <v>Flashdisk 32GB</v>
      </c>
      <c r="F23" s="18">
        <v>10</v>
      </c>
      <c r="G23" s="19">
        <f>IFERROR(VLOOKUP(D23,LIST_DATA_BARANG,3,FALSE),"Terjadi Kesalahan")</f>
        <v>50000</v>
      </c>
      <c r="H23" s="19">
        <f>IFERROR(IF(F23&lt;1,0,VLOOKUP(D23,LIST_DATA_BARANG,4,FALSE)),"Terjadi Kesalahan")</f>
        <v>5000</v>
      </c>
      <c r="I23" s="19">
        <f t="shared" si="0"/>
        <v>495000</v>
      </c>
      <c r="J23" s="5"/>
    </row>
    <row r="24" spans="2:10" ht="15" thickBot="1" x14ac:dyDescent="0.35">
      <c r="B24" s="4"/>
      <c r="C24" s="6"/>
      <c r="D24" s="6"/>
      <c r="E24" s="6"/>
      <c r="F24" s="6"/>
      <c r="G24" s="20" t="s">
        <v>13</v>
      </c>
      <c r="H24" s="20"/>
      <c r="I24" s="21">
        <f>IFERROR(SUM(I14:I23),"Terjadi Kesalahan")</f>
        <v>22745000</v>
      </c>
      <c r="J24" s="5"/>
    </row>
    <row r="25" spans="2:10" ht="15" thickBot="1" x14ac:dyDescent="0.35">
      <c r="B25" s="4"/>
      <c r="C25" s="6"/>
      <c r="D25" s="6"/>
      <c r="E25" s="6"/>
      <c r="F25" s="6"/>
      <c r="G25" s="20" t="s">
        <v>14</v>
      </c>
      <c r="H25" s="20"/>
      <c r="I25" s="21">
        <f>IFERROR(SUM(H14:H23),"Terjadi Kesalahan")</f>
        <v>531000</v>
      </c>
      <c r="J25" s="5"/>
    </row>
    <row r="26" spans="2:10" ht="15" thickBot="1" x14ac:dyDescent="0.35">
      <c r="B26" s="4"/>
      <c r="C26" s="6"/>
      <c r="D26" s="6"/>
      <c r="E26" s="6"/>
      <c r="F26" s="6"/>
      <c r="G26" s="20" t="s">
        <v>15</v>
      </c>
      <c r="H26" s="20"/>
      <c r="I26" s="21">
        <f>IFERROR((I24-I25)*10%,"Terjadi Kesalahan")</f>
        <v>2221400</v>
      </c>
      <c r="J26" s="5"/>
    </row>
    <row r="27" spans="2:10" ht="15" thickBot="1" x14ac:dyDescent="0.35">
      <c r="B27" s="4"/>
      <c r="C27" s="6"/>
      <c r="D27" s="6"/>
      <c r="E27" s="6"/>
      <c r="F27" s="6"/>
      <c r="G27" s="20" t="s">
        <v>16</v>
      </c>
      <c r="H27" s="20"/>
      <c r="I27" s="21">
        <f>IFERROR(I24-I25+I26,"Terjadi Kesalahan")</f>
        <v>24435400</v>
      </c>
      <c r="J27" s="5"/>
    </row>
    <row r="28" spans="2:10" x14ac:dyDescent="0.3">
      <c r="B28" s="4"/>
      <c r="C28" s="6"/>
      <c r="D28" s="6"/>
      <c r="E28" s="6"/>
      <c r="F28" s="6"/>
      <c r="G28" s="6"/>
      <c r="H28" s="6"/>
      <c r="I28" s="6"/>
      <c r="J28" s="5"/>
    </row>
    <row r="29" spans="2:10" x14ac:dyDescent="0.3">
      <c r="B29" s="4"/>
      <c r="C29" s="6"/>
      <c r="D29" s="6"/>
      <c r="E29" s="6"/>
      <c r="F29" s="6"/>
      <c r="G29" s="6"/>
      <c r="H29" s="6"/>
      <c r="I29" s="6"/>
      <c r="J29" s="5"/>
    </row>
    <row r="30" spans="2:10" x14ac:dyDescent="0.3">
      <c r="B30" s="4"/>
      <c r="C30" s="6"/>
      <c r="D30" s="6"/>
      <c r="E30" s="6"/>
      <c r="F30" s="6"/>
      <c r="G30" s="6"/>
      <c r="H30" s="6"/>
      <c r="I30" s="6"/>
      <c r="J30" s="5"/>
    </row>
    <row r="31" spans="2:10" x14ac:dyDescent="0.3">
      <c r="B31" s="4"/>
      <c r="C31" s="6"/>
      <c r="D31" s="6"/>
      <c r="E31" s="6"/>
      <c r="F31" s="6"/>
      <c r="G31" s="6"/>
      <c r="H31" s="6"/>
      <c r="I31" s="6"/>
      <c r="J31" s="5"/>
    </row>
    <row r="32" spans="2:10" x14ac:dyDescent="0.3">
      <c r="B32" s="4"/>
      <c r="C32" s="6"/>
      <c r="D32" s="6"/>
      <c r="E32" s="6"/>
      <c r="F32" s="6"/>
      <c r="G32" s="6"/>
      <c r="H32" s="6"/>
      <c r="I32" s="6"/>
      <c r="J32" s="5"/>
    </row>
    <row r="33" spans="2:10" x14ac:dyDescent="0.3">
      <c r="B33" s="4"/>
      <c r="C33" s="6"/>
      <c r="D33" s="6"/>
      <c r="E33" s="6"/>
      <c r="F33" s="6"/>
      <c r="G33" s="6"/>
      <c r="H33" s="6"/>
      <c r="I33" s="6"/>
      <c r="J33" s="5"/>
    </row>
    <row r="34" spans="2:10" x14ac:dyDescent="0.3">
      <c r="B34" s="4"/>
      <c r="C34" s="6"/>
      <c r="D34" s="6"/>
      <c r="E34" s="6"/>
      <c r="F34" s="6"/>
      <c r="G34" s="6"/>
      <c r="H34" s="6"/>
      <c r="I34" s="6"/>
      <c r="J34" s="5"/>
    </row>
    <row r="35" spans="2:10" x14ac:dyDescent="0.3">
      <c r="B35" s="4"/>
      <c r="C35" s="6"/>
      <c r="D35" s="6"/>
      <c r="E35" s="6"/>
      <c r="F35" s="6"/>
      <c r="G35" s="6"/>
      <c r="H35" s="6"/>
      <c r="I35" s="6"/>
      <c r="J35" s="5"/>
    </row>
    <row r="36" spans="2:10" x14ac:dyDescent="0.3">
      <c r="B36" s="4"/>
      <c r="C36" s="6"/>
      <c r="D36" s="6"/>
      <c r="E36" s="6"/>
      <c r="F36" s="6"/>
      <c r="G36" s="6"/>
      <c r="H36" s="6"/>
      <c r="I36" s="6"/>
      <c r="J36" s="5"/>
    </row>
    <row r="37" spans="2:10" x14ac:dyDescent="0.3">
      <c r="B37" s="4"/>
      <c r="C37" s="6"/>
      <c r="D37" s="6"/>
      <c r="E37" s="6"/>
      <c r="F37" s="6"/>
      <c r="G37" s="6"/>
      <c r="H37" s="6"/>
      <c r="I37" s="6"/>
      <c r="J37" s="5"/>
    </row>
    <row r="38" spans="2:10" ht="15" thickBot="1" x14ac:dyDescent="0.35">
      <c r="B38" s="9"/>
      <c r="C38" s="10"/>
      <c r="D38" s="10"/>
      <c r="E38" s="10"/>
      <c r="F38" s="10"/>
      <c r="G38" s="10"/>
      <c r="H38" s="10"/>
      <c r="I38" s="10"/>
      <c r="J38" s="11"/>
    </row>
  </sheetData>
  <mergeCells count="16">
    <mergeCell ref="H9:I9"/>
    <mergeCell ref="H11:I11"/>
    <mergeCell ref="H6:I6"/>
    <mergeCell ref="C3:I3"/>
    <mergeCell ref="C6:E6"/>
    <mergeCell ref="C7:E7"/>
    <mergeCell ref="C8:E8"/>
    <mergeCell ref="C9:E9"/>
    <mergeCell ref="H5:I5"/>
    <mergeCell ref="H7:I7"/>
    <mergeCell ref="H8:I8"/>
    <mergeCell ref="C11:D11"/>
    <mergeCell ref="G24:H24"/>
    <mergeCell ref="G25:H25"/>
    <mergeCell ref="G26:H26"/>
    <mergeCell ref="G27:H27"/>
  </mergeCells>
  <phoneticPr fontId="5" type="noConversion"/>
  <dataValidations count="2">
    <dataValidation type="list" allowBlank="1" showInputMessage="1" showErrorMessage="1" sqref="H7" xr:uid="{CB668D49-781C-4AA3-8851-D740854D0945}">
      <formula1>LIST_NAMA_PELANGGAN</formula1>
    </dataValidation>
    <dataValidation type="list" allowBlank="1" showInputMessage="1" showErrorMessage="1" sqref="D14:D23" xr:uid="{517F9A07-20C3-4FFF-B72B-B6FEDB512AA5}">
      <formula1>LIST_KODE_DATABARANG</formula1>
    </dataValidation>
  </dataValidations>
  <pageMargins left="0.7" right="0.7" top="0.75" bottom="0.75" header="0.3" footer="0.3"/>
  <pageSetup paperSize="9" scale="6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DDB4B-2445-4D9F-A1E0-5A3070395629}">
  <dimension ref="B2:K14"/>
  <sheetViews>
    <sheetView zoomScale="85" zoomScaleNormal="85" workbookViewId="0">
      <selection activeCell="D18" sqref="D18"/>
    </sheetView>
  </sheetViews>
  <sheetFormatPr defaultRowHeight="14.4" x14ac:dyDescent="0.3"/>
  <cols>
    <col min="2" max="2" width="5.77734375" customWidth="1"/>
    <col min="3" max="3" width="21.109375" customWidth="1"/>
    <col min="4" max="4" width="13.5546875" customWidth="1"/>
    <col min="5" max="5" width="13.6640625" customWidth="1"/>
    <col min="7" max="7" width="5.44140625" customWidth="1"/>
    <col min="8" max="8" width="6.33203125" customWidth="1"/>
    <col min="9" max="9" width="17.109375" bestFit="1" customWidth="1"/>
    <col min="10" max="10" width="18.88671875" customWidth="1"/>
    <col min="11" max="11" width="16.5546875" customWidth="1"/>
  </cols>
  <sheetData>
    <row r="2" spans="2:11" ht="15" thickBot="1" x14ac:dyDescent="0.35"/>
    <row r="3" spans="2:11" ht="15" thickBot="1" x14ac:dyDescent="0.35">
      <c r="B3" s="22" t="s">
        <v>25</v>
      </c>
      <c r="C3" s="22"/>
      <c r="D3" s="22"/>
      <c r="E3" s="22"/>
      <c r="G3" s="23" t="s">
        <v>26</v>
      </c>
      <c r="H3" s="23"/>
      <c r="I3" s="23"/>
      <c r="J3" s="23"/>
      <c r="K3" s="23"/>
    </row>
    <row r="4" spans="2:11" ht="15" thickBot="1" x14ac:dyDescent="0.35">
      <c r="B4" s="24" t="s">
        <v>24</v>
      </c>
      <c r="C4" s="24" t="s">
        <v>17</v>
      </c>
      <c r="D4" s="24" t="s">
        <v>18</v>
      </c>
      <c r="E4" s="24" t="s">
        <v>19</v>
      </c>
      <c r="F4" s="12"/>
      <c r="G4" s="24" t="s">
        <v>24</v>
      </c>
      <c r="H4" s="24" t="s">
        <v>20</v>
      </c>
      <c r="I4" s="24" t="s">
        <v>21</v>
      </c>
      <c r="J4" s="24" t="s">
        <v>22</v>
      </c>
      <c r="K4" s="24" t="s">
        <v>23</v>
      </c>
    </row>
    <row r="5" spans="2:11" ht="15" thickBot="1" x14ac:dyDescent="0.35">
      <c r="B5" s="24">
        <v>1</v>
      </c>
      <c r="C5" s="25" t="str">
        <f>IF(B5=1,"PT. TEKNO BERSAMA",IF(B5=2,"PT. INFORMASI",IF(B5=3,"CV. MAJU MUNDUR",IF(B5=4,"LKP. KOMPUTER JAYA",IF(B5=5,"LKP. TEKNOLOGI",IF(B5=6,"PT. AGUS SALIM",IF(B5=7,"SUSIYANTI",IF(B5=8,"ZAHRATUSYARINI",IF(B5=9,"FAIZ RAMADHANI",IF(B5=10,"SULTAN ADIANSYAH"))))))))))</f>
        <v>PT. TEKNO BERSAMA</v>
      </c>
      <c r="D5" s="25" t="str">
        <f>IF(C5="PT. TEKNO BERSAMA","Jakarta Pusat",IF(C5="PT. INFORMASI","Surabaya",IF(C5="CV. MAJU MUNDUR","Bekasi",IF(C5="LKP. KOMPUTER JAYA","Depok",IF(C5="LKP. TEKNOLOGI","Makassar",IF(C5="PT. AGUS SALIM","Mamuju",IF(C5="SUSIYANTI","Kalukku",IF(C5="ZAHRATUSYARINI","Sampaga",IF(C5="FAIZ RAMADHANI","Tarailu",IF(C5="SULTAN ADIANSYAH","Tasiun"))))))))))</f>
        <v>Jakarta Pusat</v>
      </c>
      <c r="E5" s="25" t="s">
        <v>27</v>
      </c>
      <c r="G5" s="24">
        <v>1</v>
      </c>
      <c r="H5" s="26" t="s">
        <v>37</v>
      </c>
      <c r="I5" s="25" t="str">
        <f>IF(H5="A01","Mouse Gaming",IF(H5="A02","Keyboard",IF(H5="A03","Tas Laptop",IF(H5="A04","Cooling Pad Laptop",IF(H5="A05","Hardisk Eksternal",IF(H5="A06","Speaker Gaming",IF(H5="A07","Headset Gaming",IF(H5="A08","Mouse Wireless",IF(H5="A09","Monitor LED",IF(H5="A10","Flashdisk 32GB"))))))))))</f>
        <v>Mouse Gaming</v>
      </c>
      <c r="J5" s="27">
        <f>IF(I5="Mouse Gaming",129000,IF(I5="Keyboard",139000,IF(I5="Tas Laptop",130000,IF(I5="Cooling Pad Laptop",170000,IF(I5="Hardisk Eksternal",600000,IF(I5="Speaker Gaming",200000,IF(I5="Headset Gaming",500000,IF(I5="Mouse Wireless",135000,IF(I5="Monitor LED",1391000,IF(I5="Flashdisk 32GB",50000))))))))))</f>
        <v>129000</v>
      </c>
      <c r="K5" s="27">
        <f>IF(I5="Mouse Gaming",10000,IF(I5="Keyboard",10000,IF(I5="Tas Laptop",15000,IF(I5="Cooling Pad Laptop",12000,IF(I5="Hardisk Eksternal",100000,IF(I5="Speaker Gaming",20000,IF(I5="Headset Gaming",50000,IF(I5="Mouse Wireless",9000,IF(I5="Monitor LED",300000,IF(I5="Flashdisk 32GB",5000))))))))))</f>
        <v>10000</v>
      </c>
    </row>
    <row r="6" spans="2:11" ht="15" thickBot="1" x14ac:dyDescent="0.35">
      <c r="B6" s="24">
        <v>2</v>
      </c>
      <c r="C6" s="25" t="str">
        <f t="shared" ref="C6:C14" si="0">IF(B6=1,"PT. TEKNO BERSAMA",IF(B6=2,"PT. INFORMASI",IF(B6=3,"CV. MAJU MUNDUR",IF(B6=4,"LKP. KOMPUTER JAYA",IF(B6=5,"LKP. TEKNOLOGI",IF(B6=6,"PT. AGUS SALIM",IF(B6=7,"SUSIYANTI",IF(B6=8,"ZAHRATUSYARINI",IF(B6=9,"FAIZ RAMADHANI",IF(B6=10,"SULTAN ADIANSYAH"))))))))))</f>
        <v>PT. INFORMASI</v>
      </c>
      <c r="D6" s="25" t="str">
        <f t="shared" ref="D6:D14" si="1">IF(C6="PT. TEKNO BERSAMA","Jakarta Pusat",IF(C6="PT. INFORMASI","Surabaya",IF(C6="CV. MAJU MUNDUR","Bekasi",IF(C6="LKP. KOMPUTER JAYA","Depok",IF(C6="LKP. TEKNOLOGI","Makassar",IF(C6="PT. AGUS SALIM","Mamuju",IF(C6="SUSIYANTI","Kalukku",IF(C6="ZAHRATUSYARINI","Sampaga",IF(C6="FAIZ RAMADHANI","Tarailu",IF(C6="SULTAN ADIANSYAH","Tasiun"))))))))))</f>
        <v>Surabaya</v>
      </c>
      <c r="E6" s="25" t="s">
        <v>28</v>
      </c>
      <c r="G6" s="24">
        <v>2</v>
      </c>
      <c r="H6" s="26" t="s">
        <v>38</v>
      </c>
      <c r="I6" s="25" t="str">
        <f t="shared" ref="I6:I14" si="2">IF(H6="A01","Mouse Gaming",IF(H6="A02","Keyboard",IF(H6="A03","Tas Laptop",IF(H6="A04","Cooling Pad Laptop",IF(H6="A05","Hardisk Eksternal",IF(H6="A06","Speaker Gaming",IF(H6="A07","Headset Gaming",IF(H6="A08","Mouse Wireless",IF(H6="A09","Monitor LED",IF(H6="A10","Flashdisk 32GB"))))))))))</f>
        <v>Keyboard</v>
      </c>
      <c r="J6" s="27">
        <f t="shared" ref="J6:J14" si="3">IF(I6="Mouse Gaming",129000,IF(I6="Keyboard",139000,IF(I6="Tas Laptop",130000,IF(I6="Cooling Pad Laptop",170000,IF(I6="Hardisk Eksternal",600000,IF(I6="Speaker Gaming",200000,IF(I6="Headset Gaming",500000,IF(I6="Mouse Wireless",135000,IF(I6="Monitor LED",1391000,IF(I6="Flashdisk 32GB",50000))))))))))</f>
        <v>139000</v>
      </c>
      <c r="K6" s="27">
        <f t="shared" ref="K6:K14" si="4">IF(I6="Mouse Gaming",10000,IF(I6="Keyboard",10000,IF(I6="Tas Laptop",15000,IF(I6="Cooling Pad Laptop",12000,IF(I6="Hardisk Eksternal",100000,IF(I6="Speaker Gaming",20000,IF(I6="Headset Gaming",50000,IF(I6="Mouse Wireless",9000,IF(I6="Monitor LED",300000,IF(I6="Flashdisk 32GB",5000))))))))))</f>
        <v>10000</v>
      </c>
    </row>
    <row r="7" spans="2:11" ht="15" thickBot="1" x14ac:dyDescent="0.35">
      <c r="B7" s="24">
        <v>3</v>
      </c>
      <c r="C7" s="25" t="str">
        <f t="shared" si="0"/>
        <v>CV. MAJU MUNDUR</v>
      </c>
      <c r="D7" s="25" t="str">
        <f t="shared" si="1"/>
        <v>Bekasi</v>
      </c>
      <c r="E7" s="25" t="s">
        <v>29</v>
      </c>
      <c r="G7" s="24">
        <v>3</v>
      </c>
      <c r="H7" s="26" t="s">
        <v>39</v>
      </c>
      <c r="I7" s="25" t="str">
        <f t="shared" si="2"/>
        <v>Tas Laptop</v>
      </c>
      <c r="J7" s="27">
        <f t="shared" si="3"/>
        <v>130000</v>
      </c>
      <c r="K7" s="27">
        <f t="shared" si="4"/>
        <v>15000</v>
      </c>
    </row>
    <row r="8" spans="2:11" ht="15" thickBot="1" x14ac:dyDescent="0.35">
      <c r="B8" s="24">
        <v>4</v>
      </c>
      <c r="C8" s="25" t="str">
        <f t="shared" si="0"/>
        <v>LKP. KOMPUTER JAYA</v>
      </c>
      <c r="D8" s="25" t="str">
        <f t="shared" si="1"/>
        <v>Depok</v>
      </c>
      <c r="E8" s="25" t="s">
        <v>30</v>
      </c>
      <c r="G8" s="24">
        <v>4</v>
      </c>
      <c r="H8" s="26" t="s">
        <v>40</v>
      </c>
      <c r="I8" s="25" t="str">
        <f t="shared" si="2"/>
        <v>Cooling Pad Laptop</v>
      </c>
      <c r="J8" s="27">
        <f t="shared" si="3"/>
        <v>170000</v>
      </c>
      <c r="K8" s="27">
        <f t="shared" si="4"/>
        <v>12000</v>
      </c>
    </row>
    <row r="9" spans="2:11" ht="15" thickBot="1" x14ac:dyDescent="0.35">
      <c r="B9" s="24">
        <v>5</v>
      </c>
      <c r="C9" s="25" t="str">
        <f t="shared" si="0"/>
        <v>LKP. TEKNOLOGI</v>
      </c>
      <c r="D9" s="25" t="str">
        <f t="shared" si="1"/>
        <v>Makassar</v>
      </c>
      <c r="E9" s="25" t="s">
        <v>31</v>
      </c>
      <c r="G9" s="24">
        <v>5</v>
      </c>
      <c r="H9" s="26" t="s">
        <v>41</v>
      </c>
      <c r="I9" s="25" t="str">
        <f t="shared" si="2"/>
        <v>Hardisk Eksternal</v>
      </c>
      <c r="J9" s="27">
        <f t="shared" si="3"/>
        <v>600000</v>
      </c>
      <c r="K9" s="27">
        <f t="shared" si="4"/>
        <v>100000</v>
      </c>
    </row>
    <row r="10" spans="2:11" ht="15" thickBot="1" x14ac:dyDescent="0.35">
      <c r="B10" s="24">
        <v>6</v>
      </c>
      <c r="C10" s="25" t="str">
        <f t="shared" si="0"/>
        <v>PT. AGUS SALIM</v>
      </c>
      <c r="D10" s="25" t="str">
        <f t="shared" si="1"/>
        <v>Mamuju</v>
      </c>
      <c r="E10" s="25" t="s">
        <v>32</v>
      </c>
      <c r="G10" s="24">
        <v>6</v>
      </c>
      <c r="H10" s="26" t="s">
        <v>42</v>
      </c>
      <c r="I10" s="25" t="str">
        <f t="shared" si="2"/>
        <v>Speaker Gaming</v>
      </c>
      <c r="J10" s="27">
        <f t="shared" si="3"/>
        <v>200000</v>
      </c>
      <c r="K10" s="27">
        <f t="shared" si="4"/>
        <v>20000</v>
      </c>
    </row>
    <row r="11" spans="2:11" ht="15" thickBot="1" x14ac:dyDescent="0.35">
      <c r="B11" s="24">
        <v>7</v>
      </c>
      <c r="C11" s="25" t="str">
        <f t="shared" si="0"/>
        <v>SUSIYANTI</v>
      </c>
      <c r="D11" s="25" t="str">
        <f t="shared" si="1"/>
        <v>Kalukku</v>
      </c>
      <c r="E11" s="25" t="s">
        <v>33</v>
      </c>
      <c r="G11" s="24">
        <v>7</v>
      </c>
      <c r="H11" s="26" t="s">
        <v>43</v>
      </c>
      <c r="I11" s="25" t="str">
        <f t="shared" si="2"/>
        <v>Headset Gaming</v>
      </c>
      <c r="J11" s="27">
        <f t="shared" si="3"/>
        <v>500000</v>
      </c>
      <c r="K11" s="27">
        <f t="shared" si="4"/>
        <v>50000</v>
      </c>
    </row>
    <row r="12" spans="2:11" ht="15" thickBot="1" x14ac:dyDescent="0.35">
      <c r="B12" s="24">
        <v>8</v>
      </c>
      <c r="C12" s="25" t="str">
        <f t="shared" si="0"/>
        <v>ZAHRATUSYARINI</v>
      </c>
      <c r="D12" s="25" t="str">
        <f t="shared" si="1"/>
        <v>Sampaga</v>
      </c>
      <c r="E12" s="25" t="s">
        <v>34</v>
      </c>
      <c r="G12" s="24">
        <v>8</v>
      </c>
      <c r="H12" s="26" t="s">
        <v>44</v>
      </c>
      <c r="I12" s="25" t="str">
        <f t="shared" si="2"/>
        <v>Mouse Wireless</v>
      </c>
      <c r="J12" s="27">
        <f t="shared" si="3"/>
        <v>135000</v>
      </c>
      <c r="K12" s="27">
        <f t="shared" si="4"/>
        <v>9000</v>
      </c>
    </row>
    <row r="13" spans="2:11" ht="15" thickBot="1" x14ac:dyDescent="0.35">
      <c r="B13" s="24">
        <v>9</v>
      </c>
      <c r="C13" s="25" t="str">
        <f t="shared" si="0"/>
        <v>FAIZ RAMADHANI</v>
      </c>
      <c r="D13" s="25" t="str">
        <f t="shared" si="1"/>
        <v>Tarailu</v>
      </c>
      <c r="E13" s="25" t="s">
        <v>35</v>
      </c>
      <c r="G13" s="24">
        <v>9</v>
      </c>
      <c r="H13" s="26" t="s">
        <v>45</v>
      </c>
      <c r="I13" s="25" t="str">
        <f t="shared" si="2"/>
        <v>Monitor LED</v>
      </c>
      <c r="J13" s="27">
        <f t="shared" si="3"/>
        <v>1391000</v>
      </c>
      <c r="K13" s="27">
        <f t="shared" si="4"/>
        <v>300000</v>
      </c>
    </row>
    <row r="14" spans="2:11" ht="15" thickBot="1" x14ac:dyDescent="0.35">
      <c r="B14" s="24">
        <v>10</v>
      </c>
      <c r="C14" s="25" t="str">
        <f t="shared" si="0"/>
        <v>SULTAN ADIANSYAH</v>
      </c>
      <c r="D14" s="25" t="str">
        <f t="shared" si="1"/>
        <v>Tasiun</v>
      </c>
      <c r="E14" s="25" t="s">
        <v>36</v>
      </c>
      <c r="G14" s="24">
        <v>10</v>
      </c>
      <c r="H14" s="26" t="s">
        <v>46</v>
      </c>
      <c r="I14" s="25" t="str">
        <f t="shared" si="2"/>
        <v>Flashdisk 32GB</v>
      </c>
      <c r="J14" s="27">
        <f t="shared" si="3"/>
        <v>50000</v>
      </c>
      <c r="K14" s="27">
        <f t="shared" si="4"/>
        <v>5000</v>
      </c>
    </row>
  </sheetData>
  <mergeCells count="2">
    <mergeCell ref="B3:E3"/>
    <mergeCell ref="G3:K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Faktur Template</vt:lpstr>
      <vt:lpstr>Data Pelanggan &amp; Barang</vt:lpstr>
      <vt:lpstr>LIST_DATA_BARANG</vt:lpstr>
      <vt:lpstr>LIST_DATA_PELANGGAN</vt:lpstr>
      <vt:lpstr>LIST_KODE_DATABARANG</vt:lpstr>
      <vt:lpstr>LIST_NAMA_PELANGGAN</vt:lpstr>
      <vt:lpstr>'Faktur Template'!Print_Area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Faisal Rafi</dc:creator>
  <cp:lastModifiedBy>Rizky Faisal Rafi</cp:lastModifiedBy>
  <dcterms:created xsi:type="dcterms:W3CDTF">2026-08-08T04:44:51Z</dcterms:created>
  <dcterms:modified xsi:type="dcterms:W3CDTF">2026-08-08T08:22:49Z</dcterms:modified>
</cp:coreProperties>
</file>