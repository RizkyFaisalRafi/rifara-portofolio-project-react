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Template\"/>
    </mc:Choice>
  </mc:AlternateContent>
  <xr:revisionPtr revIDLastSave="0" documentId="13_ncr:1_{3C0D610C-C481-4BF0-B4B1-45D56ECEDA1B}" xr6:coauthVersionLast="47" xr6:coauthVersionMax="47" xr10:uidLastSave="{00000000-0000-0000-0000-000000000000}"/>
  <bookViews>
    <workbookView xWindow="-108" yWindow="-108" windowWidth="23256" windowHeight="13176" activeTab="1" xr2:uid="{3B367BED-561D-4398-82D9-751D32DFA537}"/>
  </bookViews>
  <sheets>
    <sheet name="Database" sheetId="1" r:id="rId1"/>
    <sheet name="Surat Jalan" sheetId="2" r:id="rId2"/>
  </sheets>
  <definedNames>
    <definedName name="_xlnm.Print_Area" localSheetId="0">Database!$B$2:$J$25</definedName>
    <definedName name="_xlnm.Print_Area" localSheetId="1">'Surat Jalan'!$B$2:$H$47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F18" i="2"/>
  <c r="F19" i="2"/>
  <c r="F20" i="2"/>
  <c r="F21" i="2"/>
  <c r="F22" i="2"/>
  <c r="F23" i="2"/>
  <c r="F17" i="2"/>
  <c r="D18" i="2"/>
  <c r="D19" i="2"/>
  <c r="D20" i="2"/>
  <c r="D21" i="2"/>
  <c r="D22" i="2"/>
  <c r="D23" i="2"/>
  <c r="D17" i="2"/>
  <c r="G12" i="2"/>
  <c r="G10" i="2" a="1"/>
  <c r="G10" i="2" s="1"/>
  <c r="G9" i="2" a="1"/>
  <c r="G9" i="2" s="1"/>
  <c r="G8" i="2"/>
  <c r="D11" i="2"/>
  <c r="D46" i="2" s="1"/>
  <c r="D10" i="2"/>
  <c r="D9" i="2"/>
  <c r="D12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<sst xmlns="http://schemas.openxmlformats.org/spreadsheetml/2006/main" count="153" uniqueCount="129">
  <si>
    <t>No.</t>
  </si>
  <si>
    <t>Nama Perusahaan</t>
  </si>
  <si>
    <t>No Surat Jalan</t>
  </si>
  <si>
    <t>Tanggal</t>
  </si>
  <si>
    <t>No. PO/Ref</t>
  </si>
  <si>
    <t>Nama Supir</t>
  </si>
  <si>
    <t>No. Polisi</t>
  </si>
  <si>
    <t>Untuk Perhatian</t>
  </si>
  <si>
    <t>SJ/08/2026/001</t>
  </si>
  <si>
    <t>SJ/08/2026/002</t>
  </si>
  <si>
    <t>SJ/08/2026/003</t>
  </si>
  <si>
    <t>SJ/08/2026/004</t>
  </si>
  <si>
    <t>SJ/08/2026/005</t>
  </si>
  <si>
    <t>SJ/08/2026/006</t>
  </si>
  <si>
    <t>SJ/09/2026/007</t>
  </si>
  <si>
    <t>SJ/09/2026/008</t>
  </si>
  <si>
    <t>SJ/09/2026/009</t>
  </si>
  <si>
    <t>SJ/09/2026/010</t>
  </si>
  <si>
    <t>SJ/09/2026/011</t>
  </si>
  <si>
    <t>SJ/09/2026/012</t>
  </si>
  <si>
    <t>PO-TBS-008</t>
  </si>
  <si>
    <t>PO-TBS-001</t>
  </si>
  <si>
    <t>PO-TBS-002</t>
  </si>
  <si>
    <t>PO-TBS-003</t>
  </si>
  <si>
    <t>PO-TBS-004</t>
  </si>
  <si>
    <t>PO-TBS-005</t>
  </si>
  <si>
    <t>PO-TBS-006</t>
  </si>
  <si>
    <t>PO-TBS-007</t>
  </si>
  <si>
    <t>PO-TBS-009</t>
  </si>
  <si>
    <t>PO-TBS-010</t>
  </si>
  <si>
    <t>PO-TBS-011</t>
  </si>
  <si>
    <t>PO-TBS-012</t>
  </si>
  <si>
    <t>Rizky</t>
  </si>
  <si>
    <t>Faisal</t>
  </si>
  <si>
    <t>Rafi</t>
  </si>
  <si>
    <t>Budi</t>
  </si>
  <si>
    <t>Verry</t>
  </si>
  <si>
    <t>Fajar</t>
  </si>
  <si>
    <t>Jaka</t>
  </si>
  <si>
    <t>Dudung</t>
  </si>
  <si>
    <t>Rahmat</t>
  </si>
  <si>
    <t>Firmansyah</t>
  </si>
  <si>
    <t>Dandi</t>
  </si>
  <si>
    <t>Durdang</t>
  </si>
  <si>
    <t>PT. BeSmart Global</t>
  </si>
  <si>
    <t>PT. Maju Jaya</t>
  </si>
  <si>
    <t>Toko Bangunan Sentosa</t>
  </si>
  <si>
    <t>PT Shan Information</t>
  </si>
  <si>
    <t>PT Anugrah Hadi Electric</t>
  </si>
  <si>
    <t>PT Janji Manis Sentosa</t>
  </si>
  <si>
    <t>PT Maju Jaya Bersama</t>
  </si>
  <si>
    <t>PT Dardin Dundung</t>
  </si>
  <si>
    <t>PT Shoppe Indonesia</t>
  </si>
  <si>
    <t>PT Tokopaedi Indonesia</t>
  </si>
  <si>
    <t>PT BliBli Indonesia</t>
  </si>
  <si>
    <t>Bapak Jamal</t>
  </si>
  <si>
    <t>Bapak Dandi</t>
  </si>
  <si>
    <t>Bapak Randu</t>
  </si>
  <si>
    <t>Bapak Fian</t>
  </si>
  <si>
    <t>Bapak Nanda</t>
  </si>
  <si>
    <t>Ibu Siti</t>
  </si>
  <si>
    <t>Ibu Tian</t>
  </si>
  <si>
    <t>Ibu Ulva</t>
  </si>
  <si>
    <t>Bapak Fardi</t>
  </si>
  <si>
    <t>Ibu Nuri</t>
  </si>
  <si>
    <t>Ibu Riana</t>
  </si>
  <si>
    <t>Ibu Anissa</t>
  </si>
  <si>
    <t>PT. BeSmart Gildang</t>
  </si>
  <si>
    <t>Kode Barang</t>
  </si>
  <si>
    <t>Nama / Deskripsi Barang</t>
  </si>
  <si>
    <t>QTY</t>
  </si>
  <si>
    <t>Satuan</t>
  </si>
  <si>
    <t>Keterangan</t>
  </si>
  <si>
    <t>Semen Tiga Roda 50kg</t>
  </si>
  <si>
    <t>Cat Tembok Dulux Putih 25kg</t>
  </si>
  <si>
    <t>Paku Payung</t>
  </si>
  <si>
    <t>Kuas Cat 4 Inch</t>
  </si>
  <si>
    <t>Mesin Air Shimizu</t>
  </si>
  <si>
    <t>Mesin Air Sanyo</t>
  </si>
  <si>
    <t>Tabung 12 Liter Shimizu</t>
  </si>
  <si>
    <t>STR-50</t>
  </si>
  <si>
    <t>CTDP-25</t>
  </si>
  <si>
    <t>PP-35</t>
  </si>
  <si>
    <t>KCI-45</t>
  </si>
  <si>
    <t>MAS-55</t>
  </si>
  <si>
    <t>MAS-65</t>
  </si>
  <si>
    <t>TLS-75</t>
  </si>
  <si>
    <t>Box</t>
  </si>
  <si>
    <t>Pail</t>
  </si>
  <si>
    <t>Sak</t>
  </si>
  <si>
    <t>Pieces</t>
  </si>
  <si>
    <t>Packing Kayu</t>
  </si>
  <si>
    <t>PT. BeSmart Indonesia Gemilang</t>
  </si>
  <si>
    <t>Jl. Industri Raya Blok C No. 12, Tangerang, Banten</t>
  </si>
  <si>
    <t>Telp: (021) 555-1234 | Email: info@besmartindogem.com</t>
  </si>
  <si>
    <t>Surat Jalan</t>
  </si>
  <si>
    <t>No. Surat Jalan</t>
  </si>
  <si>
    <t>Kepada Yth,</t>
  </si>
  <si>
    <t>Alamat Perusahaan</t>
  </si>
  <si>
    <t>Jl. Jend. Sudirman No. 45, Jakarta Barat</t>
  </si>
  <si>
    <t>Jl. Jend. Sudirman No. 47, Jakarta Barat</t>
  </si>
  <si>
    <t>Jl. Jend. Sudirman No. 48, Jakarta Selatan</t>
  </si>
  <si>
    <t>Jl. Jend. Sudirman No. 49, Jakarta Barat</t>
  </si>
  <si>
    <t>Jl. Jend. Sudirman No. 50, Jakarta Selatan</t>
  </si>
  <si>
    <t>Jl. Jend. Sudirman No. 51, Jakarta Barat</t>
  </si>
  <si>
    <t>Jl. Jend. Sudirman No. 52, Jakarta Selatan</t>
  </si>
  <si>
    <t>Jl. Jend. Sudirman No. 53, Jakarta Barat</t>
  </si>
  <si>
    <t>Jl. Jend. Sudirman No. 54, Jakarta Selatan</t>
  </si>
  <si>
    <t>Jl. Jend. Sudirman No. 55, Jakarta Barat</t>
  </si>
  <si>
    <t>Jl. Jend. Sudirman No. 56, Jakarta Selatan</t>
  </si>
  <si>
    <t>Jl. Jend. Sudirman No. 46, Jakarta Selatan</t>
  </si>
  <si>
    <t>UP</t>
  </si>
  <si>
    <t>Harap diterima dengan baik barang-barang di bawah ini:</t>
  </si>
  <si>
    <t>Kode
Barang</t>
  </si>
  <si>
    <t>NAMA /
DESKRIPSI BARANG</t>
  </si>
  <si>
    <t>Catatan:</t>
  </si>
  <si>
    <t>Barang yang sudah dibeli tidak dapat ditukar atau dikembalikan kecuali ada perjanjian sebelumnya.</t>
  </si>
  <si>
    <t>Surat jalan ini merupakan bukti serah terima barang yang sah.</t>
  </si>
  <si>
    <t>Diterima Oleh,</t>
  </si>
  <si>
    <t>Dibawa Oleh,</t>
  </si>
  <si>
    <t>Dibuat Oleh,</t>
  </si>
  <si>
    <t>( Admin Gudang )</t>
  </si>
  <si>
    <t>Pengirim</t>
  </si>
  <si>
    <t>Supir / Kurir</t>
  </si>
  <si>
    <t>(.............................)</t>
  </si>
  <si>
    <t>Nama Penerima</t>
  </si>
  <si>
    <t>Pipa Air 1 Inch</t>
  </si>
  <si>
    <t>Meter</t>
  </si>
  <si>
    <t>PAI-85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</si>
</sst>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@\ * \:"/>
    <numFmt numFmtId="166" formatCode="[$-F800]dddd\,\ mmmm\ dd\,\ yyyy"/>
  </numFmts>
  <fonts count="8" x14ac:knownFonts="1">
    <font>
      <sz val="11"/>
      <color theme="1"/>
      <name val="Aptos Narrow"/>
      <family val="2"/>
      <charset val="1"/>
      <scheme val="minor"/>
    </font>
    <font>
      <sz val="8"/>
      <name val="Aptos Narrow"/>
      <family val="2"/>
      <charset val="1"/>
      <scheme val="minor"/>
    </font>
    <font>
      <b/>
      <sz val="2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0"/>
      <name val="Aptos Narrow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1" xfId="0" applyBorder="1"/>
    <xf numFmtId="165" fontId="0" fillId="0" borderId="0" xfId="0" applyNumberFormat="1"/>
    <xf numFmtId="0" fontId="0" fillId="0" borderId="0" xfId="0" applyFont="1" applyFill="1" applyBorder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165" fontId="3" fillId="0" borderId="0" xfId="0" applyNumberFormat="1" applyFont="1"/>
    <xf numFmtId="0" fontId="3" fillId="0" borderId="0" xfId="0" applyFont="1"/>
    <xf numFmtId="0" fontId="0" fillId="0" borderId="0" xfId="0" applyAlignment="1">
      <alignment horizontal="left" vertical="center"/>
    </xf>
    <xf numFmtId="15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49" fontId="0" fillId="0" borderId="0" xfId="0" quotePrefix="1" applyNumberFormat="1"/>
    <xf numFmtId="0" fontId="0" fillId="0" borderId="2" xfId="0" applyNumberFormat="1" applyBorder="1" applyAlignment="1">
      <alignment horizontal="left" vertical="center"/>
    </xf>
    <xf numFmtId="0" fontId="4" fillId="2" borderId="0" xfId="0" applyNumberFormat="1" applyFont="1" applyFill="1" applyBorder="1" applyAlignment="1">
      <alignment horizontal="left" vertical="center" indent="1"/>
    </xf>
    <xf numFmtId="0" fontId="5" fillId="2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16">
    <dxf>
      <alignment horizontal="left" vertical="center" textRotation="0" wrapText="0" indent="0" justifyLastLine="0" shrinkToFit="0" readingOrder="0"/>
    </dxf>
    <dxf>
      <numFmt numFmtId="164" formatCode="0.0000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20" formatCode="dd\-mmm\-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1085270</xdr:colOff>
      <xdr:row>5</xdr:row>
      <xdr:rowOff>292028</xdr:rowOff>
    </xdr:from>
    <xdr:to>
      <xdr:col>5</xdr:col>
      <xdr:colOff>61404</xdr:colOff>
      <xdr:row>5</xdr:row>
      <xdr:rowOff>292028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FDC968E-CEC4-1862-6758-708FCA7AF37F}"/>
            </a:ext>
          </a:extLst>
        </xdr:cNvPr>
        <xdr:cNvCxnSpPr/>
      </xdr:nvCxnSpPr>
      <xdr:spPr>
        <a:xfrm>
          <a:off x="3920238" y="1488286"/>
          <a:ext cx="1073682" cy="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3451</xdr:colOff>
      <xdr:row>25</xdr:row>
      <xdr:rowOff>0</xdr:rowOff>
    </xdr:from>
    <xdr:to>
      <xdr:col>1</xdr:col>
      <xdr:colOff>3451</xdr:colOff>
      <xdr:row>28</xdr:row>
      <xdr:rowOff>4257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B99FD7C-9D27-3A91-EEA0-1BF0DC9392D2}"/>
            </a:ext>
          </a:extLst>
        </xdr:cNvPr>
        <xdr:cNvCxnSpPr/>
      </xdr:nvCxnSpPr>
      <xdr:spPr>
        <a:xfrm>
          <a:off x="741424" y="5862595"/>
          <a:ext cx="0" cy="755959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651FFC-8AF7-4FAE-9761-99788937261D}" name="Data_Tujuan" displayName="Data_Tujuan" ref="B3:J15" totalsRowShown="0" headerRowDxfId="15">
  <autoFilter ref="B3:J15" xr:uid="{3F651FFC-8AF7-4FAE-9761-99788937261D}"/>
  <tableColumns count="9">
    <tableColumn id="1" xr3:uid="{C0B27E33-E86D-4B26-9CF0-6D137263375B}" name="No." dataDxfId="14"/>
    <tableColumn id="2" xr3:uid="{9EA6417A-F0CB-4EFD-9ABB-46E191043AE8}" name="No Surat Jalan" dataDxfId="13"/>
    <tableColumn id="3" xr3:uid="{9C7C035E-00EF-4E98-AF8F-E69224FBAE20}" name="Tanggal" dataDxfId="12"/>
    <tableColumn id="4" xr3:uid="{2005B3B6-DB14-4F54-9B40-2092113F2CE4}" name="No. PO/Ref" dataDxfId="11"/>
    <tableColumn id="5" xr3:uid="{275FD74A-F40E-499A-8ABB-3DF87C97B893}" name="Nama Supir" dataDxfId="10"/>
    <tableColumn id="6" xr3:uid="{FBBCC378-C45C-4415-BF62-AEBE1DEE364B}" name="No. Polisi" dataDxfId="1">
      <calculatedColumnFormula>"B "&amp;RIGHT(RAND(),4)&amp;" AB"</calculatedColumnFormula>
    </tableColumn>
    <tableColumn id="7" xr3:uid="{718661DA-8815-4CD8-B7F7-772D60E331D9}" name="Nama Perusahaan" dataDxfId="0"/>
    <tableColumn id="8" xr3:uid="{657F788D-0DB3-476F-8B59-B86C210B7119}" name="Untuk Perhatian" dataDxfId="9"/>
    <tableColumn id="9" xr3:uid="{BEDD1C98-4155-4FE4-939B-456B673D9446}" name="Alamat Perusahaan" dataDxfId="8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48EB79-0920-4612-8EE5-D5EAEA6F62C6}" name="Data_Barang" displayName="Data_Barang" ref="B17:E25" totalsRowShown="0" headerRowDxfId="7" dataDxfId="6">
  <autoFilter ref="B17:E25" xr:uid="{F548EB79-0920-4612-8EE5-D5EAEA6F62C6}"/>
  <tableColumns count="4">
    <tableColumn id="1" xr3:uid="{5BBDD02A-8443-458A-852D-2BF9243755B0}" name="No." dataDxfId="5"/>
    <tableColumn id="2" xr3:uid="{18917E34-C7FD-4665-80C9-74712D79B11B}" name="Kode Barang" dataDxfId="4"/>
    <tableColumn id="3" xr3:uid="{0AA95692-F669-44DB-91EB-937FE76F56CF}" name="Nama / Deskripsi Barang" dataDxfId="3"/>
    <tableColumn id="6" xr3:uid="{21D48427-9CED-4994-A509-1EA1F2489D97}" name="Satuan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5B147-1328-4AC2-BF98-014AB24F362D}">
  <dimension ref="B3:J25"/>
  <sheetViews>
    <sheetView zoomScale="83" zoomScaleNormal="69" workbookViewId="0">
      <selection activeCell="G22" sqref="G22"/>
    </sheetView>
  </sheetViews>
  <sheetFormatPr defaultRowHeight="14.4" x14ac:dyDescent="0.3"/>
  <cols>
    <col min="2" max="2" width="5.77734375" customWidth="1"/>
    <col min="3" max="3" width="14.5546875" customWidth="1"/>
    <col min="4" max="4" width="24.88671875" customWidth="1"/>
    <col min="5" max="5" width="14.77734375" customWidth="1"/>
    <col min="6" max="6" width="12.6640625" customWidth="1"/>
    <col min="7" max="7" width="13.5546875" customWidth="1"/>
    <col min="8" max="8" width="20.77734375" bestFit="1" customWidth="1"/>
    <col min="9" max="9" width="16.109375" customWidth="1"/>
    <col min="10" max="10" width="33.88671875" customWidth="1"/>
  </cols>
  <sheetData>
    <row r="3" spans="2:10" x14ac:dyDescent="0.3">
      <c r="B3" s="2" t="s">
        <v>0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1</v>
      </c>
      <c r="I3" s="2" t="s">
        <v>7</v>
      </c>
      <c r="J3" s="2" t="s">
        <v>98</v>
      </c>
    </row>
    <row r="4" spans="2:10" x14ac:dyDescent="0.3">
      <c r="B4" s="2">
        <v>1</v>
      </c>
      <c r="C4" s="10" t="s">
        <v>8</v>
      </c>
      <c r="D4" s="11">
        <v>46260</v>
      </c>
      <c r="E4" s="10" t="s">
        <v>21</v>
      </c>
      <c r="F4" s="10" t="s">
        <v>32</v>
      </c>
      <c r="G4" s="12" t="str">
        <f ca="1">"B "&amp;RIGHT(RAND(),4)&amp;" AB"</f>
        <v>B 0127 AB</v>
      </c>
      <c r="H4" s="10" t="s">
        <v>44</v>
      </c>
      <c r="I4" s="10" t="s">
        <v>55</v>
      </c>
      <c r="J4" s="10" t="s">
        <v>99</v>
      </c>
    </row>
    <row r="5" spans="2:10" x14ac:dyDescent="0.3">
      <c r="B5" s="2">
        <v>2</v>
      </c>
      <c r="C5" s="10" t="s">
        <v>9</v>
      </c>
      <c r="D5" s="11">
        <v>46261</v>
      </c>
      <c r="E5" s="10" t="s">
        <v>22</v>
      </c>
      <c r="F5" s="10" t="s">
        <v>33</v>
      </c>
      <c r="G5" s="12" t="str">
        <f t="shared" ref="G5:G15" ca="1" si="0">"B "&amp;RIGHT(RAND(),4)&amp;" AB"</f>
        <v>B 1051 AB</v>
      </c>
      <c r="H5" s="10" t="s">
        <v>67</v>
      </c>
      <c r="I5" s="10" t="s">
        <v>56</v>
      </c>
      <c r="J5" s="10" t="s">
        <v>110</v>
      </c>
    </row>
    <row r="6" spans="2:10" x14ac:dyDescent="0.3">
      <c r="B6" s="2">
        <v>3</v>
      </c>
      <c r="C6" s="10" t="s">
        <v>10</v>
      </c>
      <c r="D6" s="11">
        <v>46262</v>
      </c>
      <c r="E6" s="10" t="s">
        <v>23</v>
      </c>
      <c r="F6" s="10" t="s">
        <v>34</v>
      </c>
      <c r="G6" s="12" t="str">
        <f t="shared" ca="1" si="0"/>
        <v>B 6244 AB</v>
      </c>
      <c r="H6" s="10" t="s">
        <v>45</v>
      </c>
      <c r="I6" s="10" t="s">
        <v>57</v>
      </c>
      <c r="J6" s="10" t="s">
        <v>100</v>
      </c>
    </row>
    <row r="7" spans="2:10" x14ac:dyDescent="0.3">
      <c r="B7" s="2">
        <v>4</v>
      </c>
      <c r="C7" s="10" t="s">
        <v>11</v>
      </c>
      <c r="D7" s="11">
        <v>46263</v>
      </c>
      <c r="E7" s="10" t="s">
        <v>24</v>
      </c>
      <c r="F7" s="10" t="s">
        <v>35</v>
      </c>
      <c r="G7" s="12" t="str">
        <f t="shared" ca="1" si="0"/>
        <v>B 2998 AB</v>
      </c>
      <c r="H7" s="10" t="s">
        <v>46</v>
      </c>
      <c r="I7" s="10" t="s">
        <v>58</v>
      </c>
      <c r="J7" s="10" t="s">
        <v>101</v>
      </c>
    </row>
    <row r="8" spans="2:10" x14ac:dyDescent="0.3">
      <c r="B8" s="2">
        <v>5</v>
      </c>
      <c r="C8" s="10" t="s">
        <v>12</v>
      </c>
      <c r="D8" s="11">
        <v>46264</v>
      </c>
      <c r="E8" s="10" t="s">
        <v>25</v>
      </c>
      <c r="F8" s="10" t="s">
        <v>36</v>
      </c>
      <c r="G8" s="12" t="str">
        <f t="shared" ca="1" si="0"/>
        <v>B 8509 AB</v>
      </c>
      <c r="H8" s="10" t="s">
        <v>47</v>
      </c>
      <c r="I8" s="10" t="s">
        <v>59</v>
      </c>
      <c r="J8" s="10" t="s">
        <v>102</v>
      </c>
    </row>
    <row r="9" spans="2:10" x14ac:dyDescent="0.3">
      <c r="B9" s="2">
        <v>6</v>
      </c>
      <c r="C9" s="10" t="s">
        <v>13</v>
      </c>
      <c r="D9" s="11">
        <v>46265</v>
      </c>
      <c r="E9" s="10" t="s">
        <v>26</v>
      </c>
      <c r="F9" s="10" t="s">
        <v>37</v>
      </c>
      <c r="G9" s="12" t="str">
        <f t="shared" ca="1" si="0"/>
        <v>B 9051 AB</v>
      </c>
      <c r="H9" s="10" t="s">
        <v>48</v>
      </c>
      <c r="I9" s="10" t="s">
        <v>60</v>
      </c>
      <c r="J9" s="10" t="s">
        <v>103</v>
      </c>
    </row>
    <row r="10" spans="2:10" x14ac:dyDescent="0.3">
      <c r="B10" s="2">
        <v>7</v>
      </c>
      <c r="C10" s="10" t="s">
        <v>14</v>
      </c>
      <c r="D10" s="11">
        <v>46266</v>
      </c>
      <c r="E10" s="10" t="s">
        <v>27</v>
      </c>
      <c r="F10" s="10" t="s">
        <v>38</v>
      </c>
      <c r="G10" s="12" t="str">
        <f t="shared" ca="1" si="0"/>
        <v>B 6694 AB</v>
      </c>
      <c r="H10" s="10" t="s">
        <v>49</v>
      </c>
      <c r="I10" s="10" t="s">
        <v>61</v>
      </c>
      <c r="J10" s="10" t="s">
        <v>104</v>
      </c>
    </row>
    <row r="11" spans="2:10" x14ac:dyDescent="0.3">
      <c r="B11" s="2">
        <v>8</v>
      </c>
      <c r="C11" s="10" t="s">
        <v>15</v>
      </c>
      <c r="D11" s="11">
        <v>46267</v>
      </c>
      <c r="E11" s="10" t="s">
        <v>20</v>
      </c>
      <c r="F11" s="10" t="s">
        <v>39</v>
      </c>
      <c r="G11" s="12" t="str">
        <f t="shared" ca="1" si="0"/>
        <v>B 7472 AB</v>
      </c>
      <c r="H11" s="10" t="s">
        <v>50</v>
      </c>
      <c r="I11" s="10" t="s">
        <v>62</v>
      </c>
      <c r="J11" s="10" t="s">
        <v>105</v>
      </c>
    </row>
    <row r="12" spans="2:10" x14ac:dyDescent="0.3">
      <c r="B12" s="2">
        <v>9</v>
      </c>
      <c r="C12" s="10" t="s">
        <v>16</v>
      </c>
      <c r="D12" s="11">
        <v>46268</v>
      </c>
      <c r="E12" s="10" t="s">
        <v>28</v>
      </c>
      <c r="F12" s="10" t="s">
        <v>40</v>
      </c>
      <c r="G12" s="12" t="str">
        <f t="shared" ca="1" si="0"/>
        <v>B 1936 AB</v>
      </c>
      <c r="H12" s="10" t="s">
        <v>51</v>
      </c>
      <c r="I12" s="10" t="s">
        <v>63</v>
      </c>
      <c r="J12" s="10" t="s">
        <v>106</v>
      </c>
    </row>
    <row r="13" spans="2:10" x14ac:dyDescent="0.3">
      <c r="B13" s="2">
        <v>10</v>
      </c>
      <c r="C13" s="10" t="s">
        <v>17</v>
      </c>
      <c r="D13" s="11">
        <v>46269</v>
      </c>
      <c r="E13" s="10" t="s">
        <v>29</v>
      </c>
      <c r="F13" s="10" t="s">
        <v>41</v>
      </c>
      <c r="G13" s="12" t="str">
        <f t="shared" ca="1" si="0"/>
        <v>B 4703 AB</v>
      </c>
      <c r="H13" s="10" t="s">
        <v>52</v>
      </c>
      <c r="I13" s="10" t="s">
        <v>64</v>
      </c>
      <c r="J13" s="10" t="s">
        <v>107</v>
      </c>
    </row>
    <row r="14" spans="2:10" x14ac:dyDescent="0.3">
      <c r="B14" s="2">
        <v>11</v>
      </c>
      <c r="C14" s="10" t="s">
        <v>18</v>
      </c>
      <c r="D14" s="11">
        <v>46270</v>
      </c>
      <c r="E14" s="10" t="s">
        <v>30</v>
      </c>
      <c r="F14" s="10" t="s">
        <v>42</v>
      </c>
      <c r="G14" s="12" t="str">
        <f t="shared" ca="1" si="0"/>
        <v>B 1602 AB</v>
      </c>
      <c r="H14" s="10" t="s">
        <v>53</v>
      </c>
      <c r="I14" s="10" t="s">
        <v>65</v>
      </c>
      <c r="J14" s="10" t="s">
        <v>108</v>
      </c>
    </row>
    <row r="15" spans="2:10" x14ac:dyDescent="0.3">
      <c r="B15" s="2">
        <v>12</v>
      </c>
      <c r="C15" s="10" t="s">
        <v>19</v>
      </c>
      <c r="D15" s="11">
        <v>46271</v>
      </c>
      <c r="E15" s="10" t="s">
        <v>31</v>
      </c>
      <c r="F15" s="10" t="s">
        <v>43</v>
      </c>
      <c r="G15" s="12" t="str">
        <f t="shared" ca="1" si="0"/>
        <v>B 4092 AB</v>
      </c>
      <c r="H15" s="10" t="s">
        <v>54</v>
      </c>
      <c r="I15" s="10" t="s">
        <v>66</v>
      </c>
      <c r="J15" s="10" t="s">
        <v>109</v>
      </c>
    </row>
    <row r="17" spans="2:8" x14ac:dyDescent="0.3">
      <c r="B17" s="2" t="s">
        <v>0</v>
      </c>
      <c r="C17" s="2" t="s">
        <v>68</v>
      </c>
      <c r="D17" s="2" t="s">
        <v>69</v>
      </c>
      <c r="E17" s="2" t="s">
        <v>71</v>
      </c>
      <c r="G17" s="35"/>
      <c r="H17" s="35"/>
    </row>
    <row r="18" spans="2:8" x14ac:dyDescent="0.3">
      <c r="B18" s="1">
        <v>1</v>
      </c>
      <c r="C18" s="10" t="s">
        <v>80</v>
      </c>
      <c r="D18" s="10" t="s">
        <v>73</v>
      </c>
      <c r="E18" s="10" t="s">
        <v>89</v>
      </c>
      <c r="G18" s="36"/>
      <c r="H18" s="36"/>
    </row>
    <row r="19" spans="2:8" x14ac:dyDescent="0.3">
      <c r="B19" s="1">
        <v>2</v>
      </c>
      <c r="C19" s="10" t="s">
        <v>81</v>
      </c>
      <c r="D19" s="10" t="s">
        <v>74</v>
      </c>
      <c r="E19" s="10" t="s">
        <v>88</v>
      </c>
      <c r="G19" s="36"/>
      <c r="H19" s="36"/>
    </row>
    <row r="20" spans="2:8" x14ac:dyDescent="0.3">
      <c r="B20" s="1">
        <v>3</v>
      </c>
      <c r="C20" s="10" t="s">
        <v>82</v>
      </c>
      <c r="D20" s="10" t="s">
        <v>75</v>
      </c>
      <c r="E20" s="10" t="s">
        <v>87</v>
      </c>
      <c r="G20" s="36"/>
      <c r="H20" s="36"/>
    </row>
    <row r="21" spans="2:8" x14ac:dyDescent="0.3">
      <c r="B21" s="1">
        <v>4</v>
      </c>
      <c r="C21" s="10" t="s">
        <v>83</v>
      </c>
      <c r="D21" s="10" t="s">
        <v>76</v>
      </c>
      <c r="E21" s="10" t="s">
        <v>87</v>
      </c>
      <c r="G21" s="36"/>
      <c r="H21" s="36"/>
    </row>
    <row r="22" spans="2:8" x14ac:dyDescent="0.3">
      <c r="B22" s="1">
        <v>5</v>
      </c>
      <c r="C22" s="10" t="s">
        <v>84</v>
      </c>
      <c r="D22" s="10" t="s">
        <v>77</v>
      </c>
      <c r="E22" s="10" t="s">
        <v>90</v>
      </c>
      <c r="G22" s="36"/>
      <c r="H22" s="36"/>
    </row>
    <row r="23" spans="2:8" x14ac:dyDescent="0.3">
      <c r="B23" s="1">
        <v>6</v>
      </c>
      <c r="C23" s="10" t="s">
        <v>85</v>
      </c>
      <c r="D23" s="10" t="s">
        <v>78</v>
      </c>
      <c r="E23" s="10" t="s">
        <v>90</v>
      </c>
      <c r="G23" s="36"/>
      <c r="H23" s="36"/>
    </row>
    <row r="24" spans="2:8" x14ac:dyDescent="0.3">
      <c r="B24" s="1">
        <v>7</v>
      </c>
      <c r="C24" s="10" t="s">
        <v>86</v>
      </c>
      <c r="D24" s="10" t="s">
        <v>79</v>
      </c>
      <c r="E24" s="10" t="s">
        <v>90</v>
      </c>
      <c r="G24" s="36"/>
      <c r="H24" s="36"/>
    </row>
    <row r="25" spans="2:8" x14ac:dyDescent="0.3">
      <c r="B25" s="1">
        <v>8</v>
      </c>
      <c r="C25" s="10" t="s">
        <v>128</v>
      </c>
      <c r="D25" s="10" t="s">
        <v>126</v>
      </c>
      <c r="E25" s="10" t="s">
        <v>127</v>
      </c>
    </row>
  </sheetData>
  <phoneticPr fontId="1" type="noConversion"/>
  <pageMargins left="0.7" right="0.7" top="0.75" bottom="0.75" header="0.3" footer="0.3"/>
  <pageSetup paperSize="9" scale="55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DB7E-5F85-420D-BA72-50B60D6263AC}">
  <dimension ref="A2:L47"/>
  <sheetViews>
    <sheetView tabSelected="1" topLeftCell="A22" zoomScale="66" zoomScaleNormal="75" zoomScaleSheetLayoutView="72" workbookViewId="0">
      <selection activeCell="I52" sqref="I52"/>
    </sheetView>
  </sheetViews>
  <sheetFormatPr defaultRowHeight="14.4" x14ac:dyDescent="0.3"/>
  <cols>
    <col min="1" max="1" width="10.77734375" customWidth="1"/>
    <col min="2" max="2" width="4.77734375" customWidth="1"/>
    <col min="3" max="4" width="25.77734375" customWidth="1"/>
    <col min="5" max="5" width="6.77734375" customWidth="1"/>
    <col min="6" max="6" width="16.33203125" customWidth="1"/>
    <col min="7" max="7" width="25.77734375" customWidth="1"/>
    <col min="8" max="8" width="4.77734375" customWidth="1"/>
    <col min="9" max="9" width="10.77734375" customWidth="1"/>
  </cols>
  <sheetData>
    <row r="2" spans="1:12" ht="28.8" x14ac:dyDescent="0.3">
      <c r="B2" s="22" t="s">
        <v>92</v>
      </c>
      <c r="C2" s="22"/>
      <c r="D2" s="22"/>
      <c r="E2" s="22"/>
      <c r="F2" s="22"/>
      <c r="G2" s="22"/>
      <c r="H2" s="22"/>
    </row>
    <row r="3" spans="1:12" ht="18" customHeight="1" x14ac:dyDescent="0.3">
      <c r="B3" s="23" t="s">
        <v>93</v>
      </c>
      <c r="C3" s="23"/>
      <c r="D3" s="23"/>
      <c r="E3" s="23"/>
      <c r="F3" s="23"/>
      <c r="G3" s="23"/>
      <c r="H3" s="23"/>
    </row>
    <row r="4" spans="1:12" ht="18" customHeight="1" thickBot="1" x14ac:dyDescent="0.35">
      <c r="B4" s="24" t="s">
        <v>94</v>
      </c>
      <c r="C4" s="24"/>
      <c r="D4" s="24"/>
      <c r="E4" s="24"/>
      <c r="F4" s="24"/>
      <c r="G4" s="24"/>
      <c r="H4" s="24"/>
    </row>
    <row r="5" spans="1:12" ht="15" thickTop="1" x14ac:dyDescent="0.3">
      <c r="A5" s="3"/>
      <c r="B5" s="4"/>
      <c r="C5" s="4"/>
      <c r="D5" s="4"/>
      <c r="E5" s="4"/>
      <c r="F5" s="4"/>
      <c r="G5" s="4"/>
      <c r="H5" s="4"/>
      <c r="I5" s="3"/>
    </row>
    <row r="6" spans="1:12" s="20" customFormat="1" ht="28.05" customHeight="1" x14ac:dyDescent="0.3">
      <c r="B6" s="25" t="s">
        <v>95</v>
      </c>
      <c r="C6" s="25"/>
      <c r="D6" s="25"/>
      <c r="E6" s="25"/>
      <c r="F6" s="25"/>
      <c r="G6" s="25"/>
      <c r="H6" s="25"/>
    </row>
    <row r="7" spans="1:12" ht="27" customHeight="1" x14ac:dyDescent="0.3"/>
    <row r="8" spans="1:12" x14ac:dyDescent="0.3">
      <c r="B8" s="5"/>
      <c r="C8" s="8" t="s">
        <v>96</v>
      </c>
      <c r="D8" s="6" t="s">
        <v>8</v>
      </c>
      <c r="E8" s="8"/>
      <c r="F8" s="8" t="s">
        <v>97</v>
      </c>
      <c r="G8" s="9" t="str">
        <f>_xlfn.XLOOKUP($D$8,Data_Tujuan[No Surat Jalan],Data_Tujuan[Nama Perusahaan])</f>
        <v>PT. BeSmart Global</v>
      </c>
    </row>
    <row r="9" spans="1:12" x14ac:dyDescent="0.3">
      <c r="B9" s="5"/>
      <c r="C9" s="8" t="s">
        <v>3</v>
      </c>
      <c r="D9" s="7">
        <f>_xlfn.XLOOKUP($D$8,Data_Tujuan[No Surat Jalan],Data_Tujuan[Tanggal])</f>
        <v>46260</v>
      </c>
      <c r="G9" t="str" cm="1">
        <f t="array" ref="G9">_xlfn.XLOOKUP($D$8,Data_Tujuan[No Surat Jalan],_xlfn.TEXTBEFORE(Data_Tujuan[Alamat Perusahaan],","))</f>
        <v>Jl. Jend. Sudirman No. 45</v>
      </c>
    </row>
    <row r="10" spans="1:12" x14ac:dyDescent="0.3">
      <c r="B10" s="5"/>
      <c r="C10" s="8" t="s">
        <v>4</v>
      </c>
      <c r="D10" s="7" t="str">
        <f>_xlfn.XLOOKUP($D$8,Data_Tujuan[No Surat Jalan],Data_Tujuan[No. PO/Ref])</f>
        <v>PO-TBS-001</v>
      </c>
      <c r="G10" t="str" cm="1">
        <f t="array" ref="G10">_xlfn.XLOOKUP($D$8,Data_Tujuan[No Surat Jalan],_xlfn.TEXTAFTER(Data_Tujuan[Alamat Perusahaan],", "))</f>
        <v>Jakarta Barat</v>
      </c>
    </row>
    <row r="11" spans="1:12" x14ac:dyDescent="0.3">
      <c r="B11" s="5"/>
      <c r="C11" s="8" t="s">
        <v>5</v>
      </c>
      <c r="D11" s="7" t="str">
        <f>_xlfn.XLOOKUP($D$8,Data_Tujuan[No Surat Jalan],Data_Tujuan[Nama Supir])</f>
        <v>Rizky</v>
      </c>
    </row>
    <row r="12" spans="1:12" x14ac:dyDescent="0.3">
      <c r="B12" s="5"/>
      <c r="C12" s="8" t="s">
        <v>6</v>
      </c>
      <c r="D12" s="7" t="str">
        <f ca="1">_xlfn.XLOOKUP($D$8,Data_Tujuan[No Surat Jalan],Data_Tujuan[No. Polisi])</f>
        <v>B 0127 AB</v>
      </c>
      <c r="F12" s="8" t="s">
        <v>111</v>
      </c>
      <c r="G12" t="str">
        <f>_xlfn.XLOOKUP($D$8,Data_Tujuan[No Surat Jalan],Data_Tujuan[Untuk Perhatian])</f>
        <v>Bapak Jamal</v>
      </c>
    </row>
    <row r="14" spans="1:12" ht="18" customHeight="1" x14ac:dyDescent="0.3">
      <c r="B14" s="21" t="s">
        <v>112</v>
      </c>
    </row>
    <row r="15" spans="1:12" ht="15" thickBot="1" x14ac:dyDescent="0.35"/>
    <row r="16" spans="1:12" ht="29.4" thickBot="1" x14ac:dyDescent="0.35">
      <c r="B16" s="17" t="s">
        <v>0</v>
      </c>
      <c r="C16" s="18" t="s">
        <v>113</v>
      </c>
      <c r="D16" s="18" t="s">
        <v>114</v>
      </c>
      <c r="E16" s="17" t="s">
        <v>70</v>
      </c>
      <c r="F16" s="17" t="s">
        <v>71</v>
      </c>
      <c r="G16" s="26" t="s">
        <v>72</v>
      </c>
      <c r="H16" s="26"/>
      <c r="L16" s="31"/>
    </row>
    <row r="17" spans="1:8" ht="19.95" customHeight="1" thickBot="1" x14ac:dyDescent="0.35">
      <c r="B17" s="13">
        <v>1</v>
      </c>
      <c r="C17" s="16" t="s">
        <v>80</v>
      </c>
      <c r="D17" s="32" t="str">
        <f>IFERROR(VLOOKUP(C17, Data_Barang[[Kode Barang]:[Satuan]], 2, FALSE)," ")</f>
        <v>Semen Tiga Roda 50kg</v>
      </c>
      <c r="E17" s="15">
        <v>100</v>
      </c>
      <c r="F17" s="15" t="str">
        <f>IFERROR(VLOOKUP(C17,Data_Barang[[Kode Barang]:[Satuan]],3,FALSE)," ")</f>
        <v>Sak</v>
      </c>
      <c r="G17" s="29" t="s">
        <v>91</v>
      </c>
      <c r="H17" s="29"/>
    </row>
    <row r="18" spans="1:8" ht="19.95" customHeight="1" thickBot="1" x14ac:dyDescent="0.35">
      <c r="B18" s="13">
        <v>2</v>
      </c>
      <c r="C18" s="16" t="s">
        <v>81</v>
      </c>
      <c r="D18" s="32" t="str">
        <f>IFERROR(VLOOKUP(C18, Data_Barang[[Kode Barang]:[Satuan]], 2, FALSE)," ")</f>
        <v>Cat Tembok Dulux Putih 25kg</v>
      </c>
      <c r="E18" s="15">
        <v>10</v>
      </c>
      <c r="F18" s="19" t="str">
        <f>IFERROR(VLOOKUP(C18,Data_Barang[[Kode Barang]:[Satuan]],3,FALSE)," ")</f>
        <v>Pail</v>
      </c>
      <c r="G18" s="29" t="s">
        <v>91</v>
      </c>
      <c r="H18" s="29"/>
    </row>
    <row r="19" spans="1:8" ht="19.95" customHeight="1" thickBot="1" x14ac:dyDescent="0.35">
      <c r="B19" s="13">
        <v>3</v>
      </c>
      <c r="C19" s="16" t="s">
        <v>82</v>
      </c>
      <c r="D19" s="32" t="str">
        <f>IFERROR(VLOOKUP(C19, Data_Barang[[Kode Barang]:[Satuan]], 2, FALSE)," ")</f>
        <v>Paku Payung</v>
      </c>
      <c r="E19" s="15">
        <v>5</v>
      </c>
      <c r="F19" s="19" t="str">
        <f>IFERROR(VLOOKUP(C19,Data_Barang[[Kode Barang]:[Satuan]],3,FALSE)," ")</f>
        <v>Box</v>
      </c>
      <c r="G19" s="29" t="s">
        <v>91</v>
      </c>
      <c r="H19" s="29"/>
    </row>
    <row r="20" spans="1:8" ht="19.95" customHeight="1" thickBot="1" x14ac:dyDescent="0.35">
      <c r="B20" s="13">
        <v>4</v>
      </c>
      <c r="C20" s="16" t="s">
        <v>83</v>
      </c>
      <c r="D20" s="32" t="str">
        <f>IFERROR(VLOOKUP(C20, Data_Barang[[Kode Barang]:[Satuan]], 2, FALSE)," ")</f>
        <v>Kuas Cat 4 Inch</v>
      </c>
      <c r="E20" s="15">
        <v>4</v>
      </c>
      <c r="F20" s="19" t="str">
        <f>IFERROR(VLOOKUP(C20,Data_Barang[[Kode Barang]:[Satuan]],3,FALSE)," ")</f>
        <v>Box</v>
      </c>
      <c r="G20" s="29" t="s">
        <v>91</v>
      </c>
      <c r="H20" s="29"/>
    </row>
    <row r="21" spans="1:8" ht="19.95" customHeight="1" thickBot="1" x14ac:dyDescent="0.35">
      <c r="B21" s="13">
        <v>5</v>
      </c>
      <c r="C21" s="16" t="s">
        <v>84</v>
      </c>
      <c r="D21" s="32" t="str">
        <f>IFERROR(VLOOKUP(C21, Data_Barang[[Kode Barang]:[Satuan]], 2, FALSE)," ")</f>
        <v>Mesin Air Shimizu</v>
      </c>
      <c r="E21" s="15">
        <v>10</v>
      </c>
      <c r="F21" s="19" t="str">
        <f>IFERROR(VLOOKUP(C21,Data_Barang[[Kode Barang]:[Satuan]],3,FALSE)," ")</f>
        <v>Pieces</v>
      </c>
      <c r="G21" s="29" t="s">
        <v>91</v>
      </c>
      <c r="H21" s="29"/>
    </row>
    <row r="22" spans="1:8" ht="19.95" customHeight="1" thickBot="1" x14ac:dyDescent="0.35">
      <c r="B22" s="13">
        <v>6</v>
      </c>
      <c r="C22" s="16" t="s">
        <v>86</v>
      </c>
      <c r="D22" s="32" t="str">
        <f>IFERROR(VLOOKUP(C22, Data_Barang[[Kode Barang]:[Satuan]], 2, FALSE)," ")</f>
        <v>Tabung 12 Liter Shimizu</v>
      </c>
      <c r="E22" s="15">
        <v>12</v>
      </c>
      <c r="F22" s="19" t="str">
        <f>IFERROR(VLOOKUP(C22,Data_Barang[[Kode Barang]:[Satuan]],3,FALSE)," ")</f>
        <v>Pieces</v>
      </c>
      <c r="G22" s="29" t="s">
        <v>91</v>
      </c>
      <c r="H22" s="29"/>
    </row>
    <row r="23" spans="1:8" ht="19.95" customHeight="1" thickBot="1" x14ac:dyDescent="0.35">
      <c r="B23" s="13">
        <v>7</v>
      </c>
      <c r="C23" s="16" t="s">
        <v>128</v>
      </c>
      <c r="D23" s="32" t="str">
        <f>IFERROR(VLOOKUP(C23, Data_Barang[[Kode Barang]:[Satuan]], 2, FALSE)," ")</f>
        <v>Pipa Air 1 Inch</v>
      </c>
      <c r="E23" s="15">
        <v>12</v>
      </c>
      <c r="F23" s="19" t="str">
        <f>IFERROR(VLOOKUP(C23,Data_Barang[[Kode Barang]:[Satuan]],3,FALSE)," ")</f>
        <v>Meter</v>
      </c>
      <c r="G23" s="29" t="s">
        <v>91</v>
      </c>
      <c r="H23" s="29"/>
    </row>
    <row r="26" spans="1:8" ht="19.95" customHeight="1" x14ac:dyDescent="0.3">
      <c r="A26" s="3"/>
      <c r="B26" s="34" t="s">
        <v>115</v>
      </c>
      <c r="C26" s="34"/>
      <c r="D26" s="34"/>
      <c r="E26" s="34"/>
      <c r="F26" s="34"/>
      <c r="G26" s="34"/>
      <c r="H26" s="34"/>
    </row>
    <row r="27" spans="1:8" ht="19.95" customHeight="1" x14ac:dyDescent="0.3">
      <c r="A27" s="3"/>
      <c r="B27" s="33" t="s">
        <v>116</v>
      </c>
      <c r="C27" s="33"/>
      <c r="D27" s="33"/>
      <c r="E27" s="33"/>
      <c r="F27" s="33"/>
      <c r="G27" s="33"/>
      <c r="H27" s="33"/>
    </row>
    <row r="28" spans="1:8" ht="19.95" customHeight="1" x14ac:dyDescent="0.3">
      <c r="A28" s="3"/>
      <c r="B28" s="33" t="s">
        <v>117</v>
      </c>
      <c r="C28" s="33"/>
      <c r="D28" s="33"/>
      <c r="E28" s="33"/>
      <c r="F28" s="33"/>
      <c r="G28" s="33"/>
      <c r="H28" s="33"/>
    </row>
    <row r="37" spans="3:7" x14ac:dyDescent="0.3">
      <c r="C37" s="2" t="s">
        <v>118</v>
      </c>
      <c r="D37" s="30" t="s">
        <v>119</v>
      </c>
      <c r="E37" s="30"/>
      <c r="F37" s="30"/>
      <c r="G37" s="2" t="s">
        <v>120</v>
      </c>
    </row>
    <row r="38" spans="3:7" x14ac:dyDescent="0.3">
      <c r="D38" s="3"/>
    </row>
    <row r="46" spans="3:7" x14ac:dyDescent="0.3">
      <c r="C46" s="2" t="s">
        <v>124</v>
      </c>
      <c r="D46" s="27" t="str">
        <f>"( " &amp; D11 &amp; " )"</f>
        <v>( Rizky )</v>
      </c>
      <c r="E46" s="27"/>
      <c r="F46" s="27"/>
      <c r="G46" s="2" t="s">
        <v>121</v>
      </c>
    </row>
    <row r="47" spans="3:7" x14ac:dyDescent="0.3">
      <c r="C47" s="14" t="s">
        <v>125</v>
      </c>
      <c r="D47" s="28" t="s">
        <v>123</v>
      </c>
      <c r="E47" s="28"/>
      <c r="F47" s="28"/>
      <c r="G47" s="14" t="s">
        <v>122</v>
      </c>
    </row>
  </sheetData>
  <mergeCells count="18">
    <mergeCell ref="D46:F46"/>
    <mergeCell ref="D47:F47"/>
    <mergeCell ref="G17:H17"/>
    <mergeCell ref="G18:H18"/>
    <mergeCell ref="G19:H19"/>
    <mergeCell ref="G20:H20"/>
    <mergeCell ref="G21:H21"/>
    <mergeCell ref="G22:H22"/>
    <mergeCell ref="D37:F37"/>
    <mergeCell ref="B26:H26"/>
    <mergeCell ref="B27:H27"/>
    <mergeCell ref="B28:H28"/>
    <mergeCell ref="G23:H23"/>
    <mergeCell ref="B2:H2"/>
    <mergeCell ref="B3:H3"/>
    <mergeCell ref="B4:H4"/>
    <mergeCell ref="B6:H6"/>
    <mergeCell ref="G16:H16"/>
  </mergeCells>
  <pageMargins left="0.7" right="0.7" top="0.75" bottom="0.75" header="0.3" footer="0.3"/>
  <pageSetup paperSize="9" scale="72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4C1D341-E16A-4230-8353-8C60404EE3E0}">
          <x14:formula1>
            <xm:f>Database!$C$4:$C$15</xm:f>
          </x14:formula1>
          <xm:sqref>D8</xm:sqref>
        </x14:dataValidation>
        <x14:dataValidation type="list" allowBlank="1" showInputMessage="1" showErrorMessage="1" xr:uid="{1E1314EA-DA43-483C-9190-8666753CB2C9}">
          <x14:formula1>
            <xm:f>Database!$C$18:$C$25</xm:f>
          </x14:formula1>
          <xm:sqref>C17:C23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Database</vt:lpstr>
      <vt:lpstr>Surat Jalan</vt:lpstr>
      <vt:lpstr>Database!Print_Area</vt:lpstr>
      <vt:lpstr>'Surat Jalan'!Print_Area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Rizky Faisal Rafi</dc:creator>
  <cp:lastModifiedBy>Rizky Faisal Rafi</cp:lastModifiedBy>
  <cp:lastPrinted>2026-08-26T14:49:31Z</cp:lastPrinted>
  <dcterms:created xsi:type="dcterms:W3CDTF">2026-08-26T01:15:20Z</dcterms:created>
  <dcterms:modified xsi:type="dcterms:W3CDTF">2026-08-26T14:49:51Z</dcterms:modified>
</cp:coreProperties>
</file>