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Template\"/>
    </mc:Choice>
  </mc:AlternateContent>
  <xr:revisionPtr revIDLastSave="0" documentId="13_ncr:1_{11476A50-5758-4BDB-851F-A01428E909A5}" xr6:coauthVersionLast="47" xr6:coauthVersionMax="47" xr10:uidLastSave="{00000000-0000-0000-0000-000000000000}"/>
  <bookViews>
    <workbookView xWindow="-108" yWindow="-108" windowWidth="23256" windowHeight="13176" xr2:uid="{80A68AB4-DEC0-42F1-9B33-E98D52BA5725}"/>
  </bookViews>
  <sheets>
    <sheet name="Laporan Stok Opname" sheetId="1" r:id="rId1"/>
    <sheet name="Master Data" sheetId="2" r:id="rId2"/>
  </sheets>
  <definedNames>
    <definedName name="_xlnm.Print_Area" localSheetId="0">'Laporan Stok Opname'!$B$2:$L$38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2" i="1"/>
  <c r="J13" i="1"/>
  <c r="J14" i="1"/>
  <c r="J15" i="1"/>
  <c r="J16" i="1"/>
  <c r="J17" i="1"/>
  <c r="I13" i="1"/>
  <c r="I14" i="1"/>
  <c r="I15" i="1"/>
  <c r="I16" i="1"/>
  <c r="I17" i="1"/>
  <c r="H13" i="1"/>
  <c r="H14" i="1"/>
  <c r="H15" i="1"/>
  <c r="H16" i="1"/>
  <c r="H17" i="1"/>
  <c r="G17" i="1"/>
  <c r="G13" i="1"/>
  <c r="G14" i="1"/>
  <c r="G15" i="1"/>
  <c r="G16" i="1"/>
  <c r="F13" i="1"/>
  <c r="F14" i="1"/>
  <c r="F15" i="1"/>
  <c r="F16" i="1"/>
  <c r="F17" i="1"/>
  <c r="E13" i="1"/>
  <c r="E14" i="1"/>
  <c r="E15" i="1"/>
  <c r="E16" i="1"/>
  <c r="E17" i="1"/>
  <c r="D13" i="1"/>
  <c r="D14" i="1"/>
  <c r="D15" i="1"/>
  <c r="D16" i="1"/>
  <c r="D17" i="1"/>
  <c r="J12" i="1"/>
  <c r="I12" i="1"/>
  <c r="H12" i="1"/>
  <c r="G12" i="1"/>
  <c r="F12" i="1"/>
  <c r="E12" i="1"/>
  <c r="D12" i="1"/>
  <c r="H10" i="2"/>
  <c r="J10" i="2" s="1"/>
  <c r="H9" i="2"/>
  <c r="J9" i="2" s="1"/>
  <c r="H8" i="2"/>
  <c r="J8" i="2" s="1"/>
  <c r="H7" i="2"/>
  <c r="J7" i="2" s="1"/>
  <c r="H6" i="2"/>
  <c r="J6" i="2" s="1"/>
  <c r="H5" i="2"/>
  <c r="J5" i="2" s="1"/>
</calcChain>
</file>

<file path=xl/sharedStrings.xml><?xml version="1.0" encoding="utf-8"?>
<sst xmlns="http://schemas.openxmlformats.org/spreadsheetml/2006/main" count="73" uniqueCount="49">
  <si>
    <t>No.</t>
  </si>
  <si>
    <t>Kode SKU</t>
  </si>
  <si>
    <t>Nama Barang</t>
  </si>
  <si>
    <t>Saldo Awal</t>
  </si>
  <si>
    <t>Mutasi Barang</t>
  </si>
  <si>
    <t>Masuk</t>
  </si>
  <si>
    <t>Keluar</t>
  </si>
  <si>
    <t>Sistem</t>
  </si>
  <si>
    <t>Fisik</t>
  </si>
  <si>
    <t>Selisih</t>
  </si>
  <si>
    <t>Hasil Stock Opname</t>
  </si>
  <si>
    <t>Keterangan</t>
  </si>
  <si>
    <t>BX-KR-500</t>
  </si>
  <si>
    <t>Periode</t>
  </si>
  <si>
    <t>Lokasi Gudang</t>
  </si>
  <si>
    <t>Disusun Oleh</t>
  </si>
  <si>
    <t>Tanggal Cetak</t>
  </si>
  <si>
    <t>LAPORAN STOK &amp; STOCK OPNAME</t>
  </si>
  <si>
    <t>Distributor Pengemasan Makanan | Cabang Tangerang</t>
  </si>
  <si>
    <t>BX-KR-750</t>
  </si>
  <si>
    <t>CP-MK-12</t>
  </si>
  <si>
    <t>CP-MK-16</t>
  </si>
  <si>
    <t>PB-FG-M</t>
  </si>
  <si>
    <t>PL-VK-20</t>
  </si>
  <si>
    <t>Box Kraft 500ml</t>
  </si>
  <si>
    <t>Box Kraft 750ml</t>
  </si>
  <si>
    <t>Cup Mika 12oz</t>
  </si>
  <si>
    <t>Cup Mika 16oz</t>
  </si>
  <si>
    <t>Paper Bag Food Grade M</t>
  </si>
  <si>
    <t>Plastik Vakum 20x30</t>
  </si>
  <si>
    <t>800</t>
  </si>
  <si>
    <t>500</t>
  </si>
  <si>
    <t>450</t>
  </si>
  <si>
    <t>Aman / Sesuai</t>
  </si>
  <si>
    <t>5 Pcs Rusak/Sobek (Reject)</t>
  </si>
  <si>
    <t>2 Pcs Sampel (Marketing)</t>
  </si>
  <si>
    <t>1 - 8 September 2026</t>
  </si>
  <si>
    <t>Rizky Faisal Rafi</t>
  </si>
  <si>
    <t>PT BESMART INDONESIA GEMILANG</t>
  </si>
  <si>
    <t>Gudang Tangerang - Legok</t>
  </si>
  <si>
    <t>Catatan Evaluasi:</t>
  </si>
  <si>
    <t>1. Secara keseluruhan stok aman. Terdapat selisih pada item BX-KR-750 dikarenakan barang rusak tertekan di tumpukan bawah rak (perlu dipindahkan ke area afkir).
2. Selisih pada item PB-FG-M dikarenakan pengambilan sampel oleh tim marketing yang belum diinput ke sistem pengeluaran barang.</t>
  </si>
  <si>
    <t>( Rizky Faisal Rafi )</t>
  </si>
  <si>
    <t>Staff Administrasi</t>
  </si>
  <si>
    <t>Diterima Oleh,</t>
  </si>
  <si>
    <t>Kepala Gudang</t>
  </si>
  <si>
    <t>Manager Operasional</t>
  </si>
  <si>
    <t>( Budi Santoso )</t>
  </si>
  <si>
    <t>( Yulianti Nur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</si>
</sst>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@\ * \:"/>
    <numFmt numFmtId="170" formatCode="\+0;\-0;&quot;0&quot;"/>
    <numFmt numFmtId="173" formatCode="dd\ \-\ mmmm\ \-\ yyyy"/>
  </numFmts>
  <fonts count="11" x14ac:knownFonts="1">
    <font>
      <sz val="11"/>
      <color theme="1"/>
      <name val="Aptos Narrow"/>
      <family val="2"/>
      <charset val="1"/>
      <scheme val="minor"/>
    </font>
    <font>
      <sz val="12"/>
      <color theme="1"/>
      <name val="Aptos Narrow"/>
      <family val="2"/>
      <charset val="1"/>
      <scheme val="minor"/>
    </font>
    <font>
      <b/>
      <sz val="12"/>
      <color theme="0"/>
      <name val="Aptos Narrow"/>
      <family val="2"/>
      <scheme val="minor"/>
    </font>
    <font>
      <b/>
      <sz val="18"/>
      <color theme="7" tint="0.3999755851924192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charset val="1"/>
      <scheme val="minor"/>
    </font>
    <font>
      <b/>
      <sz val="12"/>
      <name val="Aptos Narrow"/>
      <family val="2"/>
      <scheme val="minor"/>
    </font>
    <font>
      <b/>
      <sz val="20"/>
      <color theme="7" tint="0.3999755851924192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2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0.499984740745262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49" fontId="0" fillId="0" borderId="0" xfId="0" applyNumberFormat="1" applyBorder="1" applyAlignment="1"/>
    <xf numFmtId="49" fontId="0" fillId="0" borderId="1" xfId="0" applyNumberForma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3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Border="1" applyAlignment="1">
      <alignment horizontal="left" vertical="center" indent="2"/>
    </xf>
    <xf numFmtId="0" fontId="9" fillId="3" borderId="0" xfId="0" applyFont="1" applyFill="1" applyBorder="1" applyAlignment="1">
      <alignment horizontal="left" vertical="center" indent="2"/>
    </xf>
    <xf numFmtId="0" fontId="8" fillId="3" borderId="8" xfId="0" applyFont="1" applyFill="1" applyBorder="1" applyAlignment="1">
      <alignment horizontal="left" vertical="center" indent="2"/>
    </xf>
    <xf numFmtId="0" fontId="9" fillId="3" borderId="8" xfId="0" applyFont="1" applyFill="1" applyBorder="1" applyAlignment="1">
      <alignment horizontal="left" vertical="center" wrapText="1" indent="2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173" fontId="1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966448</xdr:colOff>
      <xdr:row>4</xdr:row>
      <xdr:rowOff>288768</xdr:rowOff>
    </xdr:from>
    <xdr:to>
      <xdr:col>7</xdr:col>
      <xdr:colOff>811478</xdr:colOff>
      <xdr:row>4</xdr:row>
      <xdr:rowOff>288768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783868F-7F3B-580E-DC18-C590A23E5DD7}"/>
            </a:ext>
          </a:extLst>
        </xdr:cNvPr>
        <xdr:cNvCxnSpPr/>
      </xdr:nvCxnSpPr>
      <xdr:spPr>
        <a:xfrm>
          <a:off x="7359331" y="1308067"/>
          <a:ext cx="3387835" cy="0"/>
        </a:xfrm>
        <a:prstGeom prst="line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601980</xdr:colOff>
      <xdr:row>3</xdr:row>
      <xdr:rowOff>68580</xdr:rowOff>
    </xdr:from>
    <xdr:to>
      <xdr:col>12</xdr:col>
      <xdr:colOff>7620</xdr:colOff>
      <xdr:row>3</xdr:row>
      <xdr:rowOff>68580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AE61956-2EAF-66D3-D42D-7EACB154F713}"/>
            </a:ext>
          </a:extLst>
        </xdr:cNvPr>
        <xdr:cNvCxnSpPr/>
      </xdr:nvCxnSpPr>
      <xdr:spPr>
        <a:xfrm>
          <a:off x="601980" y="751332"/>
          <a:ext cx="12518136" cy="0"/>
        </a:xfrm>
        <a:prstGeom prst="line">
          <a:avLst/>
        </a:prstGeom>
        <a:ln w="19050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601980</xdr:colOff>
      <xdr:row>3</xdr:row>
      <xdr:rowOff>110213</xdr:rowOff>
    </xdr:from>
    <xdr:to>
      <xdr:col>12</xdr:col>
      <xdr:colOff>7620</xdr:colOff>
      <xdr:row>3</xdr:row>
      <xdr:rowOff>110213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2761F8D-943E-3740-0176-56A01D1B02F6}"/>
            </a:ext>
          </a:extLst>
        </xdr:cNvPr>
        <xdr:cNvCxnSpPr/>
      </xdr:nvCxnSpPr>
      <xdr:spPr>
        <a:xfrm>
          <a:off x="601980" y="785622"/>
          <a:ext cx="12558799" cy="0"/>
        </a:xfrm>
        <a:prstGeom prst="line">
          <a:avLst/>
        </a:prstGeom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AD37-6568-46A5-9E33-02A335292C38}">
  <sheetPr>
    <pageSetUpPr fitToPage="1"/>
  </sheetPr>
  <dimension ref="B2:L38"/>
  <sheetViews>
    <sheetView tabSelected="1" view="pageBreakPreview" zoomScale="47" zoomScaleNormal="73" workbookViewId="0">
      <selection activeCell="B20" sqref="B20:L20"/>
    </sheetView>
  </sheetViews>
  <sheetFormatPr defaultRowHeight="14.4" x14ac:dyDescent="0.3"/>
  <cols>
    <col min="2" max="2" width="6.77734375" customWidth="1"/>
    <col min="3" max="11" width="25.77734375" customWidth="1"/>
    <col min="12" max="12" width="6.77734375" customWidth="1"/>
  </cols>
  <sheetData>
    <row r="2" spans="2:12" ht="25.8" x14ac:dyDescent="0.3">
      <c r="B2" s="31" t="s">
        <v>38</v>
      </c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2:12" ht="15.6" x14ac:dyDescent="0.3">
      <c r="B3" s="5" t="s">
        <v>18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12" ht="25.05" customHeight="1" x14ac:dyDescent="0.3"/>
    <row r="5" spans="2:12" ht="23.4" x14ac:dyDescent="0.3">
      <c r="B5" s="30" t="s">
        <v>17</v>
      </c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2:12" x14ac:dyDescent="0.3">
      <c r="K6" s="1"/>
      <c r="L6" s="1"/>
    </row>
    <row r="7" spans="2:12" ht="15.6" x14ac:dyDescent="0.3">
      <c r="B7" s="25" t="s">
        <v>13</v>
      </c>
      <c r="C7" s="25"/>
      <c r="D7" s="26" t="s">
        <v>36</v>
      </c>
      <c r="J7" s="28" t="s">
        <v>15</v>
      </c>
      <c r="K7" s="29" t="s">
        <v>37</v>
      </c>
      <c r="L7" s="29"/>
    </row>
    <row r="8" spans="2:12" ht="15.6" x14ac:dyDescent="0.3">
      <c r="B8" s="27" t="s">
        <v>14</v>
      </c>
      <c r="C8" s="27"/>
      <c r="D8" s="26" t="s">
        <v>39</v>
      </c>
      <c r="J8" s="28" t="s">
        <v>16</v>
      </c>
      <c r="K8" s="43">
        <v>46274</v>
      </c>
      <c r="L8" s="43"/>
    </row>
    <row r="9" spans="2:12" ht="18" customHeight="1" thickBot="1" x14ac:dyDescent="0.35"/>
    <row r="10" spans="2:12" s="2" customFormat="1" ht="25.05" customHeight="1" thickBot="1" x14ac:dyDescent="0.35">
      <c r="B10" s="19" t="s">
        <v>0</v>
      </c>
      <c r="C10" s="19" t="s">
        <v>1</v>
      </c>
      <c r="D10" s="19" t="s">
        <v>2</v>
      </c>
      <c r="E10" s="19" t="s">
        <v>3</v>
      </c>
      <c r="F10" s="19" t="s">
        <v>4</v>
      </c>
      <c r="G10" s="19"/>
      <c r="H10" s="19" t="s">
        <v>10</v>
      </c>
      <c r="I10" s="19"/>
      <c r="J10" s="19"/>
      <c r="K10" s="19" t="s">
        <v>11</v>
      </c>
      <c r="L10" s="19"/>
    </row>
    <row r="11" spans="2:12" s="2" customFormat="1" ht="25.05" customHeight="1" thickBot="1" x14ac:dyDescent="0.35">
      <c r="B11" s="19"/>
      <c r="C11" s="19"/>
      <c r="D11" s="19"/>
      <c r="E11" s="19"/>
      <c r="F11" s="20" t="s">
        <v>5</v>
      </c>
      <c r="G11" s="20" t="s">
        <v>6</v>
      </c>
      <c r="H11" s="20" t="s">
        <v>7</v>
      </c>
      <c r="I11" s="20" t="s">
        <v>8</v>
      </c>
      <c r="J11" s="20" t="s">
        <v>9</v>
      </c>
      <c r="K11" s="19"/>
      <c r="L11" s="19"/>
    </row>
    <row r="12" spans="2:12" ht="19.95" customHeight="1" thickBot="1" x14ac:dyDescent="0.35">
      <c r="B12" s="21">
        <v>1</v>
      </c>
      <c r="C12" s="21" t="s">
        <v>12</v>
      </c>
      <c r="D12" s="22" t="str">
        <f>_xlfn.XLOOKUP(C12,'Master Data'!$C$5:$C$10,'Master Data'!$D$5:$D$10," ")</f>
        <v>Box Kraft 500ml</v>
      </c>
      <c r="E12" s="23">
        <f>_xlfn.XLOOKUP(C12,'Master Data'!$C$5:$C$10,'Master Data'!$E$5:$E$10," ")</f>
        <v>1200</v>
      </c>
      <c r="F12" s="23" t="str">
        <f>_xlfn.XLOOKUP(C12,'Master Data'!$C$5:$C$10,'Master Data'!$F$5:$F$10," ")</f>
        <v>500</v>
      </c>
      <c r="G12" s="23" t="str">
        <f>_xlfn.XLOOKUP(C12,'Master Data'!$C$5:$C$10,'Master Data'!$G$5:$G$10," ")</f>
        <v>450</v>
      </c>
      <c r="H12" s="23">
        <f>_xlfn.XLOOKUP(C12,'Master Data'!$C$5:$C$10,'Master Data'!$H$5:$H$10," ")</f>
        <v>1250</v>
      </c>
      <c r="I12" s="23">
        <f>_xlfn.XLOOKUP(C12,'Master Data'!$C$5:$C$10,'Master Data'!$I$5:$I$10," ")</f>
        <v>1250</v>
      </c>
      <c r="J12" s="23">
        <f>_xlfn.XLOOKUP(C12,'Master Data'!$C$5:$C$10,'Master Data'!$J$5:$J$10," ")</f>
        <v>0</v>
      </c>
      <c r="K12" s="24" t="str">
        <f>_xlfn.XLOOKUP(C12,'Master Data'!$C$5:$C$10,'Master Data'!$K$5:$K$10," ")</f>
        <v>Aman / Sesuai</v>
      </c>
      <c r="L12" s="24"/>
    </row>
    <row r="13" spans="2:12" ht="19.95" customHeight="1" thickBot="1" x14ac:dyDescent="0.35">
      <c r="B13" s="21">
        <v>2</v>
      </c>
      <c r="C13" s="21" t="s">
        <v>19</v>
      </c>
      <c r="D13" s="22" t="str">
        <f>_xlfn.XLOOKUP(C13,'Master Data'!$C$5:$C$10,'Master Data'!$D$5:$D$10," ")</f>
        <v>Box Kraft 750ml</v>
      </c>
      <c r="E13" s="23" t="str">
        <f>_xlfn.XLOOKUP(C13,'Master Data'!$C$5:$C$10,'Master Data'!$E$5:$E$10," ")</f>
        <v>800</v>
      </c>
      <c r="F13" s="23">
        <f>_xlfn.XLOOKUP(C13,'Master Data'!$C$5:$C$10,'Master Data'!$F$5:$F$10," ")</f>
        <v>0</v>
      </c>
      <c r="G13" s="23">
        <f>_xlfn.XLOOKUP(C13,'Master Data'!$C$5:$C$10,'Master Data'!$G$5:$G$10," ")</f>
        <v>150</v>
      </c>
      <c r="H13" s="23">
        <f>_xlfn.XLOOKUP(C13,'Master Data'!$C$5:$C$10,'Master Data'!$H$5:$H$10," ")</f>
        <v>650</v>
      </c>
      <c r="I13" s="23">
        <f>_xlfn.XLOOKUP(C13,'Master Data'!$C$5:$C$10,'Master Data'!$I$5:$I$10," ")</f>
        <v>645</v>
      </c>
      <c r="J13" s="23">
        <f>_xlfn.XLOOKUP(C13,'Master Data'!$C$5:$C$10,'Master Data'!$J$5:$J$10," ")</f>
        <v>-5</v>
      </c>
      <c r="K13" s="24" t="str">
        <f>_xlfn.XLOOKUP(C13,'Master Data'!$C$5:$C$10,'Master Data'!$K$5:$K$10," ")</f>
        <v>5 Pcs Rusak/Sobek (Reject)</v>
      </c>
      <c r="L13" s="24"/>
    </row>
    <row r="14" spans="2:12" ht="19.95" customHeight="1" thickBot="1" x14ac:dyDescent="0.35">
      <c r="B14" s="21">
        <v>3</v>
      </c>
      <c r="C14" s="21" t="s">
        <v>20</v>
      </c>
      <c r="D14" s="22" t="str">
        <f>_xlfn.XLOOKUP(C14,'Master Data'!$C$5:$C$10,'Master Data'!$D$5:$D$10," ")</f>
        <v>Cup Mika 12oz</v>
      </c>
      <c r="E14" s="23">
        <f>_xlfn.XLOOKUP(C14,'Master Data'!$C$5:$C$10,'Master Data'!$E$5:$E$10," ")</f>
        <v>2500</v>
      </c>
      <c r="F14" s="23">
        <f>_xlfn.XLOOKUP(C14,'Master Data'!$C$5:$C$10,'Master Data'!$F$5:$F$10," ")</f>
        <v>1000</v>
      </c>
      <c r="G14" s="23">
        <f>_xlfn.XLOOKUP(C14,'Master Data'!$C$5:$C$10,'Master Data'!$G$5:$G$10," ")</f>
        <v>1200</v>
      </c>
      <c r="H14" s="23">
        <f>_xlfn.XLOOKUP(C14,'Master Data'!$C$5:$C$10,'Master Data'!$H$5:$H$10," ")</f>
        <v>2300</v>
      </c>
      <c r="I14" s="23">
        <f>_xlfn.XLOOKUP(C14,'Master Data'!$C$5:$C$10,'Master Data'!$I$5:$I$10," ")</f>
        <v>2300</v>
      </c>
      <c r="J14" s="23">
        <f>_xlfn.XLOOKUP(C14,'Master Data'!$C$5:$C$10,'Master Data'!$J$5:$J$10," ")</f>
        <v>0</v>
      </c>
      <c r="K14" s="24" t="str">
        <f>_xlfn.XLOOKUP(C14,'Master Data'!$C$5:$C$10,'Master Data'!$K$5:$K$10," ")</f>
        <v>Aman / Sesuai</v>
      </c>
      <c r="L14" s="24"/>
    </row>
    <row r="15" spans="2:12" ht="19.95" customHeight="1" thickBot="1" x14ac:dyDescent="0.35">
      <c r="B15" s="21">
        <v>4</v>
      </c>
      <c r="C15" s="21" t="s">
        <v>21</v>
      </c>
      <c r="D15" s="22" t="str">
        <f>_xlfn.XLOOKUP(C15,'Master Data'!$C$5:$C$10,'Master Data'!$D$5:$D$10," ")</f>
        <v>Cup Mika 16oz</v>
      </c>
      <c r="E15" s="23">
        <f>_xlfn.XLOOKUP(C15,'Master Data'!$C$5:$C$10,'Master Data'!$E$5:$E$10," ")</f>
        <v>1000</v>
      </c>
      <c r="F15" s="23">
        <f>_xlfn.XLOOKUP(C15,'Master Data'!$C$5:$C$10,'Master Data'!$F$5:$F$10," ")</f>
        <v>0</v>
      </c>
      <c r="G15" s="23">
        <f>_xlfn.XLOOKUP(C15,'Master Data'!$C$5:$C$10,'Master Data'!$G$5:$G$10," ")</f>
        <v>200</v>
      </c>
      <c r="H15" s="23">
        <f>_xlfn.XLOOKUP(C15,'Master Data'!$C$5:$C$10,'Master Data'!$H$5:$H$10," ")</f>
        <v>800</v>
      </c>
      <c r="I15" s="23">
        <f>_xlfn.XLOOKUP(C15,'Master Data'!$C$5:$C$10,'Master Data'!$I$5:$I$10," ")</f>
        <v>800</v>
      </c>
      <c r="J15" s="23">
        <f>_xlfn.XLOOKUP(C15,'Master Data'!$C$5:$C$10,'Master Data'!$J$5:$J$10," ")</f>
        <v>0</v>
      </c>
      <c r="K15" s="24" t="str">
        <f>_xlfn.XLOOKUP(C15,'Master Data'!$C$5:$C$10,'Master Data'!$K$5:$K$10," ")</f>
        <v>Aman / Sesuai</v>
      </c>
      <c r="L15" s="24"/>
    </row>
    <row r="16" spans="2:12" ht="19.95" customHeight="1" thickBot="1" x14ac:dyDescent="0.35">
      <c r="B16" s="21">
        <v>5</v>
      </c>
      <c r="C16" s="21" t="s">
        <v>22</v>
      </c>
      <c r="D16" s="22" t="str">
        <f>_xlfn.XLOOKUP(C16,'Master Data'!$C$5:$C$10,'Master Data'!$D$5:$D$10," ")</f>
        <v>Paper Bag Food Grade M</v>
      </c>
      <c r="E16" s="23" t="str">
        <f>_xlfn.XLOOKUP(C16,'Master Data'!$C$5:$C$10,'Master Data'!$E$5:$E$10," ")</f>
        <v>500</v>
      </c>
      <c r="F16" s="23">
        <f>_xlfn.XLOOKUP(C16,'Master Data'!$C$5:$C$10,'Master Data'!$F$5:$F$10," ")</f>
        <v>1000</v>
      </c>
      <c r="G16" s="23">
        <f>_xlfn.XLOOKUP(C16,'Master Data'!$C$5:$C$10,'Master Data'!$G$5:$G$10," ")</f>
        <v>300</v>
      </c>
      <c r="H16" s="23">
        <f>_xlfn.XLOOKUP(C16,'Master Data'!$C$5:$C$10,'Master Data'!$H$5:$H$10," ")</f>
        <v>1200</v>
      </c>
      <c r="I16" s="23">
        <f>_xlfn.XLOOKUP(C16,'Master Data'!$C$5:$C$10,'Master Data'!$I$5:$I$10," ")</f>
        <v>1198</v>
      </c>
      <c r="J16" s="23">
        <f>_xlfn.XLOOKUP(C16,'Master Data'!$C$5:$C$10,'Master Data'!$J$5:$J$10," ")</f>
        <v>-2</v>
      </c>
      <c r="K16" s="24" t="str">
        <f>_xlfn.XLOOKUP(C16,'Master Data'!$C$5:$C$10,'Master Data'!$K$5:$K$10," ")</f>
        <v>2 Pcs Sampel (Marketing)</v>
      </c>
      <c r="L16" s="24"/>
    </row>
    <row r="17" spans="2:12" ht="19.95" customHeight="1" thickBot="1" x14ac:dyDescent="0.35">
      <c r="B17" s="21">
        <v>6</v>
      </c>
      <c r="C17" s="21" t="s">
        <v>23</v>
      </c>
      <c r="D17" s="22" t="str">
        <f>_xlfn.XLOOKUP(C17,'Master Data'!$C$5:$C$10,'Master Data'!$D$5:$D$10," ")</f>
        <v>Plastik Vakum 20x30</v>
      </c>
      <c r="E17" s="23">
        <f>_xlfn.XLOOKUP(C17,'Master Data'!$C$5:$C$10,'Master Data'!$E$5:$E$10," ")</f>
        <v>1500</v>
      </c>
      <c r="F17" s="23">
        <f>_xlfn.XLOOKUP(C17,'Master Data'!$C$5:$C$10,'Master Data'!$F$5:$F$10," ")</f>
        <v>500</v>
      </c>
      <c r="G17" s="23">
        <f>_xlfn.XLOOKUP(C17,'Master Data'!$C$5:$C$10,'Master Data'!$G$5:$G$10," ")</f>
        <v>0</v>
      </c>
      <c r="H17" s="23">
        <f>_xlfn.XLOOKUP(C17,'Master Data'!$C$5:$C$10,'Master Data'!$H$5:$H$10," ")</f>
        <v>2000</v>
      </c>
      <c r="I17" s="23">
        <f>_xlfn.XLOOKUP(C17,'Master Data'!$C$5:$C$10,'Master Data'!$I$5:$I$10," ")</f>
        <v>2000</v>
      </c>
      <c r="J17" s="23">
        <f>_xlfn.XLOOKUP(C17,'Master Data'!$C$5:$C$10,'Master Data'!$J$5:$J$10," ")</f>
        <v>0</v>
      </c>
      <c r="K17" s="24" t="str">
        <f>_xlfn.XLOOKUP(C17,'Master Data'!$C$5:$C$10,'Master Data'!$K$5:$K$10," ")</f>
        <v>Aman / Sesuai</v>
      </c>
      <c r="L17" s="24"/>
    </row>
    <row r="20" spans="2:12" ht="19.95" customHeight="1" x14ac:dyDescent="0.3">
      <c r="B20" s="34" t="s">
        <v>40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2:12" ht="40.049999999999997" customHeight="1" x14ac:dyDescent="0.3">
      <c r="B21" s="35" t="s">
        <v>41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9" spans="2:12" ht="18" x14ac:dyDescent="0.35">
      <c r="C29" s="36" t="s">
        <v>44</v>
      </c>
      <c r="D29" s="36"/>
      <c r="E29" s="37"/>
      <c r="F29" s="36" t="s">
        <v>44</v>
      </c>
      <c r="G29" s="36"/>
      <c r="H29" s="36"/>
      <c r="I29" s="37"/>
      <c r="J29" s="36" t="s">
        <v>44</v>
      </c>
      <c r="K29" s="36"/>
    </row>
    <row r="30" spans="2:12" ht="18" x14ac:dyDescent="0.35">
      <c r="C30" s="38"/>
      <c r="D30" s="37"/>
      <c r="E30" s="37"/>
      <c r="F30" s="39"/>
      <c r="G30" s="39"/>
      <c r="H30" s="39"/>
      <c r="I30" s="37"/>
      <c r="J30" s="37"/>
      <c r="K30" s="38"/>
    </row>
    <row r="31" spans="2:12" ht="18" x14ac:dyDescent="0.35">
      <c r="C31" s="38"/>
      <c r="D31" s="37"/>
      <c r="E31" s="37"/>
      <c r="F31" s="39"/>
      <c r="G31" s="39"/>
      <c r="H31" s="39"/>
      <c r="I31" s="37"/>
      <c r="J31" s="37"/>
      <c r="K31" s="38"/>
    </row>
    <row r="32" spans="2:12" ht="18" x14ac:dyDescent="0.35">
      <c r="C32" s="38"/>
      <c r="D32" s="37"/>
      <c r="E32" s="37"/>
      <c r="F32" s="39"/>
      <c r="G32" s="39"/>
      <c r="H32" s="39"/>
      <c r="I32" s="37"/>
      <c r="J32" s="37"/>
      <c r="K32" s="38"/>
    </row>
    <row r="33" spans="3:11" ht="18" x14ac:dyDescent="0.35">
      <c r="C33" s="38"/>
      <c r="D33" s="37"/>
      <c r="E33" s="37"/>
      <c r="F33" s="39"/>
      <c r="G33" s="39"/>
      <c r="H33" s="39"/>
      <c r="I33" s="37"/>
      <c r="J33" s="37"/>
      <c r="K33" s="38"/>
    </row>
    <row r="34" spans="3:11" ht="18" x14ac:dyDescent="0.35">
      <c r="C34" s="38"/>
      <c r="D34" s="37"/>
      <c r="E34" s="37"/>
      <c r="F34" s="39"/>
      <c r="G34" s="39"/>
      <c r="H34" s="39"/>
      <c r="I34" s="37"/>
      <c r="J34" s="37"/>
      <c r="K34" s="38"/>
    </row>
    <row r="35" spans="3:11" ht="18" x14ac:dyDescent="0.35">
      <c r="C35" s="38"/>
      <c r="D35" s="37"/>
      <c r="E35" s="37"/>
      <c r="F35" s="39"/>
      <c r="G35" s="39"/>
      <c r="H35" s="39"/>
      <c r="I35" s="37"/>
      <c r="J35" s="37"/>
      <c r="K35" s="38"/>
    </row>
    <row r="36" spans="3:11" ht="18" x14ac:dyDescent="0.35">
      <c r="C36" s="38"/>
      <c r="D36" s="37"/>
      <c r="E36" s="37"/>
      <c r="F36" s="39"/>
      <c r="G36" s="39"/>
      <c r="H36" s="39"/>
      <c r="I36" s="37"/>
      <c r="J36" s="37"/>
      <c r="K36" s="38"/>
    </row>
    <row r="37" spans="3:11" ht="18" x14ac:dyDescent="0.35">
      <c r="C37" s="40" t="s">
        <v>42</v>
      </c>
      <c r="D37" s="40"/>
      <c r="E37" s="37"/>
      <c r="F37" s="40" t="s">
        <v>47</v>
      </c>
      <c r="G37" s="40"/>
      <c r="H37" s="40"/>
      <c r="I37" s="37"/>
      <c r="J37" s="40" t="s">
        <v>48</v>
      </c>
      <c r="K37" s="40"/>
    </row>
    <row r="38" spans="3:11" ht="18" x14ac:dyDescent="0.35">
      <c r="C38" s="41" t="s">
        <v>43</v>
      </c>
      <c r="D38" s="41"/>
      <c r="E38" s="42"/>
      <c r="F38" s="41" t="s">
        <v>45</v>
      </c>
      <c r="G38" s="41"/>
      <c r="H38" s="41"/>
      <c r="I38" s="42"/>
      <c r="J38" s="41" t="s">
        <v>46</v>
      </c>
      <c r="K38" s="41"/>
    </row>
  </sheetData>
  <mergeCells count="32">
    <mergeCell ref="F37:H37"/>
    <mergeCell ref="F38:H38"/>
    <mergeCell ref="B20:L20"/>
    <mergeCell ref="B21:L21"/>
    <mergeCell ref="C29:D29"/>
    <mergeCell ref="C37:D37"/>
    <mergeCell ref="C38:D38"/>
    <mergeCell ref="J38:K38"/>
    <mergeCell ref="J37:K37"/>
    <mergeCell ref="J29:K29"/>
    <mergeCell ref="F29:H29"/>
    <mergeCell ref="K12:L12"/>
    <mergeCell ref="K13:L13"/>
    <mergeCell ref="K14:L14"/>
    <mergeCell ref="K15:L15"/>
    <mergeCell ref="K16:L16"/>
    <mergeCell ref="K17:L17"/>
    <mergeCell ref="B5:L5"/>
    <mergeCell ref="B2:L2"/>
    <mergeCell ref="B3:L3"/>
    <mergeCell ref="B8:C8"/>
    <mergeCell ref="C10:C11"/>
    <mergeCell ref="B10:B11"/>
    <mergeCell ref="D10:D11"/>
    <mergeCell ref="E10:E11"/>
    <mergeCell ref="F10:G10"/>
    <mergeCell ref="B7:C7"/>
    <mergeCell ref="K6:L6"/>
    <mergeCell ref="K7:L7"/>
    <mergeCell ref="H10:J10"/>
    <mergeCell ref="K10:L11"/>
    <mergeCell ref="K8:L8"/>
  </mergeCells>
  <phoneticPr fontId="5" type="noConversion"/>
  <pageMargins left="0.7" right="0.7" top="0.75" bottom="0.75" header="0.3" footer="0.3"/>
  <pageSetup paperSize="9" scale="53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4A780C-D06A-4D43-8DB1-13F723F2EF10}">
          <x14:formula1>
            <xm:f>'Master Data'!$C$5:$C$11</xm:f>
          </x14:formula1>
          <xm:sqref>C12:C17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BD2A-1BAA-45FF-89D9-DE87AF6D521A}">
  <dimension ref="B3:L10"/>
  <sheetViews>
    <sheetView zoomScale="91" workbookViewId="0">
      <selection activeCell="C29" sqref="C29"/>
    </sheetView>
  </sheetViews>
  <sheetFormatPr defaultRowHeight="14.4" x14ac:dyDescent="0.3"/>
  <cols>
    <col min="2" max="2" width="7.77734375" customWidth="1"/>
    <col min="3" max="10" width="20.77734375" customWidth="1"/>
    <col min="11" max="11" width="41.33203125" customWidth="1"/>
    <col min="12" max="12" width="20.77734375" customWidth="1"/>
  </cols>
  <sheetData>
    <row r="3" spans="2:12" ht="15.6" x14ac:dyDescent="0.3">
      <c r="B3" s="6" t="s">
        <v>0</v>
      </c>
      <c r="C3" s="6" t="s">
        <v>1</v>
      </c>
      <c r="D3" s="6" t="s">
        <v>2</v>
      </c>
      <c r="E3" s="6" t="s">
        <v>3</v>
      </c>
      <c r="F3" s="8" t="s">
        <v>4</v>
      </c>
      <c r="G3" s="9"/>
      <c r="H3" s="8" t="s">
        <v>10</v>
      </c>
      <c r="I3" s="10"/>
      <c r="J3" s="9"/>
      <c r="K3" s="3" t="s">
        <v>11</v>
      </c>
      <c r="L3" s="16"/>
    </row>
    <row r="4" spans="2:12" ht="15.6" x14ac:dyDescent="0.3">
      <c r="B4" s="7"/>
      <c r="C4" s="7"/>
      <c r="D4" s="7"/>
      <c r="E4" s="7"/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3"/>
      <c r="L4" s="16"/>
    </row>
    <row r="5" spans="2:12" ht="15.6" x14ac:dyDescent="0.3">
      <c r="B5" s="11">
        <v>1</v>
      </c>
      <c r="C5" s="12" t="s">
        <v>12</v>
      </c>
      <c r="D5" s="13" t="s">
        <v>24</v>
      </c>
      <c r="E5" s="14">
        <v>1200</v>
      </c>
      <c r="F5" s="14" t="s">
        <v>31</v>
      </c>
      <c r="G5" s="14" t="s">
        <v>32</v>
      </c>
      <c r="H5" s="14">
        <f>E5 + F5 - G5</f>
        <v>1250</v>
      </c>
      <c r="I5" s="14">
        <v>1250</v>
      </c>
      <c r="J5" s="15">
        <f>I5-H5</f>
        <v>0</v>
      </c>
      <c r="K5" s="18" t="s">
        <v>33</v>
      </c>
      <c r="L5" s="17"/>
    </row>
    <row r="6" spans="2:12" ht="15.6" x14ac:dyDescent="0.3">
      <c r="B6" s="11">
        <v>2</v>
      </c>
      <c r="C6" s="12" t="s">
        <v>19</v>
      </c>
      <c r="D6" s="13" t="s">
        <v>25</v>
      </c>
      <c r="E6" s="14" t="s">
        <v>30</v>
      </c>
      <c r="F6" s="14">
        <v>0</v>
      </c>
      <c r="G6" s="14">
        <v>150</v>
      </c>
      <c r="H6" s="14">
        <f t="shared" ref="H6:H10" si="0">E6 + F6 - G6</f>
        <v>650</v>
      </c>
      <c r="I6" s="14">
        <v>645</v>
      </c>
      <c r="J6" s="15">
        <f t="shared" ref="J6:J10" si="1">I6-H6</f>
        <v>-5</v>
      </c>
      <c r="K6" s="18" t="s">
        <v>34</v>
      </c>
      <c r="L6" s="17"/>
    </row>
    <row r="7" spans="2:12" ht="15.6" x14ac:dyDescent="0.3">
      <c r="B7" s="11">
        <v>3</v>
      </c>
      <c r="C7" s="12" t="s">
        <v>20</v>
      </c>
      <c r="D7" s="13" t="s">
        <v>26</v>
      </c>
      <c r="E7" s="14">
        <v>2500</v>
      </c>
      <c r="F7" s="14">
        <v>1000</v>
      </c>
      <c r="G7" s="14">
        <v>1200</v>
      </c>
      <c r="H7" s="14">
        <f t="shared" si="0"/>
        <v>2300</v>
      </c>
      <c r="I7" s="14">
        <v>2300</v>
      </c>
      <c r="J7" s="15">
        <f t="shared" si="1"/>
        <v>0</v>
      </c>
      <c r="K7" s="18" t="s">
        <v>33</v>
      </c>
      <c r="L7" s="17"/>
    </row>
    <row r="8" spans="2:12" ht="15.6" x14ac:dyDescent="0.3">
      <c r="B8" s="11">
        <v>4</v>
      </c>
      <c r="C8" s="12" t="s">
        <v>21</v>
      </c>
      <c r="D8" s="13" t="s">
        <v>27</v>
      </c>
      <c r="E8" s="14">
        <v>1000</v>
      </c>
      <c r="F8" s="14">
        <v>0</v>
      </c>
      <c r="G8" s="14">
        <v>200</v>
      </c>
      <c r="H8" s="14">
        <f t="shared" si="0"/>
        <v>800</v>
      </c>
      <c r="I8" s="14">
        <v>800</v>
      </c>
      <c r="J8" s="15">
        <f t="shared" si="1"/>
        <v>0</v>
      </c>
      <c r="K8" s="18" t="s">
        <v>33</v>
      </c>
      <c r="L8" s="17"/>
    </row>
    <row r="9" spans="2:12" ht="15.6" x14ac:dyDescent="0.3">
      <c r="B9" s="11">
        <v>5</v>
      </c>
      <c r="C9" s="12" t="s">
        <v>22</v>
      </c>
      <c r="D9" s="13" t="s">
        <v>28</v>
      </c>
      <c r="E9" s="14" t="s">
        <v>31</v>
      </c>
      <c r="F9" s="14">
        <v>1000</v>
      </c>
      <c r="G9" s="14">
        <v>300</v>
      </c>
      <c r="H9" s="14">
        <f t="shared" si="0"/>
        <v>1200</v>
      </c>
      <c r="I9" s="14">
        <v>1198</v>
      </c>
      <c r="J9" s="15">
        <f t="shared" si="1"/>
        <v>-2</v>
      </c>
      <c r="K9" s="18" t="s">
        <v>35</v>
      </c>
      <c r="L9" s="17"/>
    </row>
    <row r="10" spans="2:12" ht="15.6" x14ac:dyDescent="0.3">
      <c r="B10" s="11">
        <v>6</v>
      </c>
      <c r="C10" s="12" t="s">
        <v>23</v>
      </c>
      <c r="D10" s="13" t="s">
        <v>29</v>
      </c>
      <c r="E10" s="14">
        <v>1500</v>
      </c>
      <c r="F10" s="14">
        <v>500</v>
      </c>
      <c r="G10" s="14">
        <v>0</v>
      </c>
      <c r="H10" s="14">
        <f t="shared" si="0"/>
        <v>2000</v>
      </c>
      <c r="I10" s="14">
        <v>2000</v>
      </c>
      <c r="J10" s="15">
        <f t="shared" si="1"/>
        <v>0</v>
      </c>
      <c r="K10" s="18" t="s">
        <v>33</v>
      </c>
      <c r="L10" s="17"/>
    </row>
  </sheetData>
  <mergeCells count="7">
    <mergeCell ref="K3:K4"/>
    <mergeCell ref="B3:B4"/>
    <mergeCell ref="C3:C4"/>
    <mergeCell ref="D3:D4"/>
    <mergeCell ref="E3:E4"/>
    <mergeCell ref="F3:G3"/>
    <mergeCell ref="H3:J3"/>
  </mergeCells>
  <pageMargins left="0.7" right="0.7" top="0.75" bottom="0.75" header="0.3" footer="0.3"/>
  <ignoredErrors>
    <ignoredError sqref="F5:G5 E6 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Laporan Stok Opname</vt:lpstr>
      <vt:lpstr>Master Data</vt:lpstr>
      <vt:lpstr>'Laporan Stok Opname'!Print_Area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Faisal Rafi</dc:creator>
  <cp:lastModifiedBy>Rizky Faisal Rafi</cp:lastModifiedBy>
  <cp:lastPrinted>2026-09-09T08:39:51Z</cp:lastPrinted>
  <dcterms:created xsi:type="dcterms:W3CDTF">2026-09-09T06:55:21Z</dcterms:created>
  <dcterms:modified xsi:type="dcterms:W3CDTF">2026-09-09T08:39:53Z</dcterms:modified>
</cp:coreProperties>
</file>