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xcel\"/>
    </mc:Choice>
  </mc:AlternateContent>
  <xr:revisionPtr revIDLastSave="0" documentId="13_ncr:1_{952BE76E-72F5-445B-BC77-F84D86DF361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definedNames>
    <definedName name="_xlnm._FilterDatabase" localSheetId="0" hidden="1">Sheet1!$B$4:$C$15</definedName>
    <definedName name="_xlnm.Print_Area" localSheetId="0">Sheet1!$A$1:$AT$34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Q7" i="1" l="1"/>
  <c r="AQ8" i="1"/>
  <c r="AQ9" i="1"/>
  <c r="AQ10" i="1"/>
  <c r="AQ11" i="1"/>
  <c r="AR11" i="1" s="1"/>
  <c r="AQ12" i="1"/>
  <c r="AR12" i="1" s="1"/>
  <c r="AQ13" i="1"/>
  <c r="AQ14" i="1"/>
  <c r="AQ15" i="1"/>
  <c r="AQ6" i="1"/>
  <c r="AR13" i="1"/>
  <c r="AR14" i="1"/>
  <c r="AK7" i="1"/>
  <c r="AK8" i="1"/>
  <c r="AK9" i="1"/>
  <c r="AK10" i="1"/>
  <c r="AK11" i="1"/>
  <c r="AK12" i="1"/>
  <c r="AK13" i="1"/>
  <c r="AK14" i="1"/>
  <c r="AK15" i="1"/>
  <c r="AJ7" i="1"/>
  <c r="AJ8" i="1"/>
  <c r="AJ9" i="1"/>
  <c r="AJ10" i="1"/>
  <c r="AJ11" i="1"/>
  <c r="AJ12" i="1"/>
  <c r="AJ13" i="1"/>
  <c r="AJ14" i="1"/>
  <c r="AJ15" i="1"/>
  <c r="AI7" i="1"/>
  <c r="AI8" i="1"/>
  <c r="AI9" i="1"/>
  <c r="AI10" i="1"/>
  <c r="AI11" i="1"/>
  <c r="AI12" i="1"/>
  <c r="AI13" i="1"/>
  <c r="AI14" i="1"/>
  <c r="AI15" i="1"/>
  <c r="AK6" i="1"/>
  <c r="AJ6" i="1"/>
  <c r="AI6" i="1"/>
  <c r="AR6" i="1" s="1"/>
  <c r="AS17" i="1"/>
  <c r="AQ17" i="1"/>
  <c r="AO16" i="1" a="1"/>
  <c r="AO16" i="1" s="1"/>
  <c r="AN7" i="1" a="1"/>
  <c r="AN7" i="1" s="1"/>
  <c r="AN8" i="1" a="1"/>
  <c r="AN8" i="1" s="1"/>
  <c r="AN9" i="1" a="1"/>
  <c r="AN9" i="1" s="1"/>
  <c r="AN10" i="1" a="1"/>
  <c r="AN10" i="1" s="1"/>
  <c r="AN11" i="1" a="1"/>
  <c r="AN11" i="1" s="1"/>
  <c r="AN12" i="1" a="1"/>
  <c r="AN12" i="1" s="1"/>
  <c r="AN13" i="1" a="1"/>
  <c r="AN13" i="1" s="1"/>
  <c r="AN14" i="1" a="1"/>
  <c r="AN14" i="1" s="1"/>
  <c r="AN15" i="1" a="1"/>
  <c r="AN15" i="1" s="1"/>
  <c r="AN6" i="1" a="1"/>
  <c r="AN6" i="1" s="1"/>
  <c r="AM7" i="1"/>
  <c r="AP7" i="1" s="1"/>
  <c r="AM8" i="1"/>
  <c r="AP8" i="1" s="1"/>
  <c r="AM9" i="1"/>
  <c r="AP9" i="1" s="1"/>
  <c r="AM10" i="1"/>
  <c r="AP10" i="1" s="1"/>
  <c r="AM11" i="1"/>
  <c r="AP11" i="1" s="1"/>
  <c r="AM12" i="1"/>
  <c r="AP12" i="1" s="1"/>
  <c r="AM13" i="1"/>
  <c r="AP13" i="1" s="1"/>
  <c r="AM14" i="1"/>
  <c r="AP14" i="1" s="1"/>
  <c r="AM15" i="1"/>
  <c r="AP15" i="1" s="1"/>
  <c r="AM6" i="1"/>
  <c r="AP6" i="1" s="1"/>
  <c r="D5" i="1"/>
  <c r="AL7" i="1"/>
  <c r="AS7" i="1" s="1"/>
  <c r="AL8" i="1"/>
  <c r="AS8" i="1" s="1"/>
  <c r="AL9" i="1"/>
  <c r="AS9" i="1" s="1"/>
  <c r="AL10" i="1"/>
  <c r="AS10" i="1" s="1"/>
  <c r="AL11" i="1"/>
  <c r="AS11" i="1" s="1"/>
  <c r="AL12" i="1"/>
  <c r="AS12" i="1" s="1"/>
  <c r="AL13" i="1"/>
  <c r="AS13" i="1" s="1"/>
  <c r="AL14" i="1"/>
  <c r="AS14" i="1" s="1"/>
  <c r="AL15" i="1"/>
  <c r="AS15" i="1" s="1"/>
  <c r="AL6" i="1"/>
  <c r="AS6" i="1" s="1"/>
  <c r="AR7" i="1"/>
  <c r="AR8" i="1"/>
  <c r="AR9" i="1"/>
  <c r="AR10" i="1"/>
  <c r="B7" i="1"/>
  <c r="B8" i="1" s="1"/>
  <c r="B9" i="1" s="1"/>
  <c r="B10" i="1" s="1"/>
  <c r="B11" i="1" s="1"/>
  <c r="B12" i="1" s="1"/>
  <c r="B13" i="1" s="1"/>
  <c r="B14" i="1" s="1"/>
  <c r="B15" i="1" s="1"/>
  <c r="E5" i="1"/>
  <c r="AP17" i="1" l="1"/>
  <c r="AR15" i="1"/>
  <c r="AQ16" i="1"/>
  <c r="AT15" i="1"/>
  <c r="AT14" i="1"/>
  <c r="AR17" i="1"/>
  <c r="AP16" i="1"/>
  <c r="AN16" i="1"/>
  <c r="AS16" i="1"/>
  <c r="AT7" i="1"/>
  <c r="AT13" i="1"/>
  <c r="AT8" i="1"/>
  <c r="AT10" i="1"/>
  <c r="AT6" i="1"/>
  <c r="AR16" i="1"/>
  <c r="AT11" i="1"/>
  <c r="AT9" i="1"/>
  <c r="AT12" i="1"/>
  <c r="AM16" i="1"/>
  <c r="T5" i="1"/>
  <c r="F5" i="1"/>
  <c r="N5" i="1"/>
  <c r="H5" i="1"/>
  <c r="P5" i="1"/>
  <c r="J5" i="1"/>
  <c r="L5" i="1"/>
  <c r="AI16" i="1"/>
  <c r="AJ16" i="1"/>
  <c r="AL16" i="1"/>
  <c r="AK16" i="1"/>
  <c r="AT16" i="1" l="1"/>
  <c r="AT17" i="1"/>
  <c r="Q5" i="1"/>
  <c r="R5" i="1"/>
  <c r="I5" i="1"/>
  <c r="K5" i="1"/>
  <c r="S5" i="1"/>
  <c r="O5" i="1"/>
  <c r="G5" i="1"/>
  <c r="M5" i="1"/>
  <c r="V5" i="1" l="1"/>
  <c r="U5" i="1"/>
  <c r="W5" i="1" l="1"/>
  <c r="X5" i="1" l="1"/>
  <c r="Y5" i="1" l="1"/>
  <c r="Z5" i="1" l="1"/>
  <c r="AA5" i="1" l="1"/>
  <c r="AB5" i="1" l="1"/>
  <c r="AC5" i="1" l="1"/>
  <c r="AD5" i="1" l="1"/>
  <c r="AE5" i="1" l="1"/>
  <c r="AF5" i="1" l="1"/>
  <c r="AH5" i="1" l="1"/>
  <c r="AG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<sst xmlns="http://schemas.openxmlformats.org/spreadsheetml/2006/main" count="350" uniqueCount="47">
  <si>
    <t>NAMA</t>
  </si>
  <si>
    <t>Alpa</t>
  </si>
  <si>
    <t>Sakit</t>
  </si>
  <si>
    <t>Izin</t>
  </si>
  <si>
    <t>Hadir</t>
  </si>
  <si>
    <t>TANGGAL</t>
  </si>
  <si>
    <t>TOTAL</t>
  </si>
  <si>
    <t>.</t>
  </si>
  <si>
    <t>ABSENSI BULANAN</t>
  </si>
  <si>
    <t>REKAP</t>
  </si>
  <si>
    <t>NO.</t>
  </si>
  <si>
    <t>A</t>
  </si>
  <si>
    <t>S</t>
  </si>
  <si>
    <t>I</t>
  </si>
  <si>
    <t>Libur</t>
  </si>
  <si>
    <t>Cuti</t>
  </si>
  <si>
    <t>L</t>
  </si>
  <si>
    <t>Rizky Faisal Rafi</t>
  </si>
  <si>
    <t>Verry Sulistyawan</t>
  </si>
  <si>
    <t>Ivan Bagus</t>
  </si>
  <si>
    <t>Firman Ramadhan</t>
  </si>
  <si>
    <t>Delpi</t>
  </si>
  <si>
    <t>Salsabila</t>
  </si>
  <si>
    <t>Yulis Sandrana</t>
  </si>
  <si>
    <t>Sandrina Mutia</t>
  </si>
  <si>
    <t>Agustus 2026</t>
  </si>
  <si>
    <t>CS</t>
  </si>
  <si>
    <t>CAK</t>
  </si>
  <si>
    <t>CHM</t>
  </si>
  <si>
    <t>CM</t>
  </si>
  <si>
    <t>Gaji Harian</t>
  </si>
  <si>
    <t>Jabatan</t>
  </si>
  <si>
    <t>Manager Operasional</t>
  </si>
  <si>
    <t>IT Developer</t>
  </si>
  <si>
    <t>Human Resource</t>
  </si>
  <si>
    <t>Cyber Security</t>
  </si>
  <si>
    <t>Admin</t>
  </si>
  <si>
    <t>Quality Control</t>
  </si>
  <si>
    <t>Uang M/T</t>
  </si>
  <si>
    <t>Produksi</t>
  </si>
  <si>
    <t>Potongan Alpa</t>
  </si>
  <si>
    <t>Gaji Pokok Jabatan</t>
  </si>
  <si>
    <t>Gaji Total</t>
  </si>
  <si>
    <t>Hendrawan Wibowo</t>
  </si>
  <si>
    <t>Manager Cabang</t>
  </si>
  <si>
    <t>AVERAGE</t>
  </si>
  <si>
    <t>Nanda Sandra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</si>
</sst>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_-&quot;Rp&quot;* #,##0_-;\-&quot;Rp&quot;* #,##0_-;_-&quot;Rp&quot;* &quot;-&quot;??_-;_-@_-"/>
  </numFmts>
  <fonts count="7" x14ac:knownFonts="1">
    <font>
      <sz val="11"/>
      <color theme="1"/>
      <name val="Calibri"/>
      <family val="2"/>
      <scheme val="minor"/>
    </font>
    <font>
      <sz val="12"/>
      <color theme="1"/>
      <name val="Tahoma"/>
      <family val="2"/>
    </font>
    <font>
      <b/>
      <sz val="12"/>
      <color theme="1"/>
      <name val="Tahoma"/>
      <family val="2"/>
    </font>
    <font>
      <sz val="12"/>
      <color theme="1"/>
      <name val="Tahoma"/>
      <family val="2"/>
    </font>
    <font>
      <b/>
      <sz val="36"/>
      <color theme="1"/>
      <name val="Tahoma"/>
      <family val="2"/>
    </font>
    <font>
      <b/>
      <sz val="12"/>
      <name val="Tahoma"/>
      <family val="2"/>
    </font>
    <font>
      <sz val="12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3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6" fillId="6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164" fontId="3" fillId="0" borderId="0" xfId="0" applyNumberFormat="1" applyFont="1" applyAlignment="1" applyProtection="1">
      <alignment vertical="center"/>
      <protection locked="0"/>
    </xf>
    <xf numFmtId="0" fontId="6" fillId="8" borderId="1" xfId="0" applyFont="1" applyFill="1" applyBorder="1" applyAlignment="1" applyProtection="1">
      <alignment horizontal="center" vertical="center"/>
      <protection locked="0"/>
    </xf>
    <xf numFmtId="0" fontId="3" fillId="9" borderId="1" xfId="0" applyFont="1" applyFill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 textRotation="255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vertical="center"/>
      <protection locked="0"/>
    </xf>
    <xf numFmtId="0" fontId="1" fillId="10" borderId="1" xfId="0" applyFont="1" applyFill="1" applyBorder="1" applyAlignment="1" applyProtection="1">
      <alignment horizontal="center" vertical="center"/>
      <protection locked="0"/>
    </xf>
    <xf numFmtId="165" fontId="3" fillId="10" borderId="1" xfId="0" applyNumberFormat="1" applyFont="1" applyFill="1" applyBorder="1" applyAlignment="1" applyProtection="1">
      <alignment vertical="center"/>
      <protection locked="0"/>
    </xf>
    <xf numFmtId="0" fontId="3" fillId="11" borderId="1" xfId="0" applyFont="1" applyFill="1" applyBorder="1" applyAlignment="1" applyProtection="1">
      <alignment horizontal="center" vertical="center"/>
      <protection locked="0"/>
    </xf>
    <xf numFmtId="0" fontId="1" fillId="11" borderId="1" xfId="0" applyFont="1" applyFill="1" applyBorder="1" applyAlignment="1" applyProtection="1">
      <alignment horizontal="center" vertical="center"/>
      <protection locked="0"/>
    </xf>
    <xf numFmtId="165" fontId="3" fillId="11" borderId="1" xfId="0" applyNumberFormat="1" applyFont="1" applyFill="1" applyBorder="1" applyAlignment="1" applyProtection="1">
      <alignment vertical="center"/>
      <protection locked="0"/>
    </xf>
    <xf numFmtId="164" fontId="1" fillId="0" borderId="0" xfId="0" applyNumberFormat="1" applyFont="1" applyAlignment="1" applyProtection="1">
      <alignment vertical="center" wrapText="1"/>
      <protection locked="0"/>
    </xf>
    <xf numFmtId="0" fontId="2" fillId="0" borderId="0" xfId="0" applyFont="1" applyFill="1" applyBorder="1" applyAlignment="1" applyProtection="1">
      <alignment vertical="center"/>
      <protection locked="0"/>
    </xf>
    <xf numFmtId="0" fontId="3" fillId="12" borderId="1" xfId="0" applyFont="1" applyFill="1" applyBorder="1" applyAlignment="1" applyProtection="1">
      <alignment horizontal="center" vertical="center"/>
      <protection locked="0"/>
    </xf>
    <xf numFmtId="0" fontId="1" fillId="12" borderId="1" xfId="0" applyFont="1" applyFill="1" applyBorder="1" applyAlignment="1" applyProtection="1">
      <alignment vertical="center"/>
      <protection locked="0"/>
    </xf>
    <xf numFmtId="0" fontId="2" fillId="12" borderId="1" xfId="0" applyFont="1" applyFill="1" applyBorder="1" applyAlignment="1" applyProtection="1">
      <alignment horizontal="center" vertical="center"/>
      <protection locked="0"/>
    </xf>
    <xf numFmtId="165" fontId="3" fillId="2" borderId="1" xfId="0" applyNumberFormat="1" applyFont="1" applyFill="1" applyBorder="1" applyAlignment="1" applyProtection="1">
      <alignment vertical="center"/>
      <protection locked="0"/>
    </xf>
    <xf numFmtId="0" fontId="2" fillId="10" borderId="1" xfId="0" applyFont="1" applyFill="1" applyBorder="1" applyAlignment="1" applyProtection="1">
      <alignment horizontal="center" vertical="center"/>
      <protection locked="0"/>
    </xf>
    <xf numFmtId="0" fontId="2" fillId="11" borderId="1" xfId="0" applyFont="1" applyFill="1" applyBorder="1" applyAlignment="1" applyProtection="1">
      <alignment horizontal="center" vertical="center"/>
      <protection locked="0"/>
    </xf>
    <xf numFmtId="0" fontId="2" fillId="10" borderId="2" xfId="0" applyFont="1" applyFill="1" applyBorder="1" applyAlignment="1" applyProtection="1">
      <alignment horizontal="center" vertical="center"/>
      <protection locked="0"/>
    </xf>
    <xf numFmtId="0" fontId="2" fillId="10" borderId="3" xfId="0" applyFont="1" applyFill="1" applyBorder="1" applyAlignment="1" applyProtection="1">
      <alignment horizontal="center" vertical="center"/>
      <protection locked="0"/>
    </xf>
    <xf numFmtId="0" fontId="5" fillId="8" borderId="2" xfId="0" applyFont="1" applyFill="1" applyBorder="1" applyAlignment="1" applyProtection="1">
      <alignment horizontal="center" vertical="center"/>
      <protection locked="0"/>
    </xf>
    <xf numFmtId="0" fontId="5" fillId="8" borderId="3" xfId="0" applyFont="1" applyFill="1" applyBorder="1" applyAlignment="1" applyProtection="1">
      <alignment horizontal="center" vertical="center"/>
      <protection locked="0"/>
    </xf>
    <xf numFmtId="0" fontId="2" fillId="9" borderId="1" xfId="0" applyFont="1" applyFill="1" applyBorder="1" applyAlignment="1" applyProtection="1">
      <alignment horizontal="center" vertical="center"/>
      <protection locked="0"/>
    </xf>
    <xf numFmtId="0" fontId="2" fillId="12" borderId="1" xfId="0" applyFont="1" applyFill="1" applyBorder="1" applyAlignment="1" applyProtection="1">
      <alignment horizontal="center" vertical="center"/>
      <protection locked="0"/>
    </xf>
    <xf numFmtId="17" fontId="2" fillId="7" borderId="1" xfId="0" quotePrefix="1" applyNumberFormat="1" applyFont="1" applyFill="1" applyBorder="1" applyAlignment="1" applyProtection="1">
      <alignment horizontal="center" vertical="center"/>
      <protection locked="0"/>
    </xf>
    <xf numFmtId="0" fontId="5" fillId="4" borderId="1" xfId="0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2" fillId="3" borderId="1" xfId="0" applyFont="1" applyFill="1" applyBorder="1" applyAlignment="1" applyProtection="1">
      <alignment horizontal="center" vertical="center"/>
      <protection locked="0"/>
    </xf>
    <xf numFmtId="0" fontId="5" fillId="6" borderId="1" xfId="0" applyFont="1" applyFill="1" applyBorder="1" applyAlignment="1" applyProtection="1">
      <alignment horizontal="center" vertical="center"/>
      <protection locked="0"/>
    </xf>
    <xf numFmtId="0" fontId="5" fillId="5" borderId="1" xfId="0" applyFont="1" applyFill="1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9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</dxfs>
  <tableStyles count="0" defaultTableStyle="TableStyleMedium9" defaultPivotStyle="PivotStyleLight16"/>
  <colors>
    <mruColors>
      <color rgb="FFFF6699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1186329</xdr:colOff>
      <xdr:row>16</xdr:row>
      <xdr:rowOff>178266</xdr:rowOff>
    </xdr:from>
    <xdr:to>
      <xdr:col>18</xdr:col>
      <xdr:colOff>103188</xdr:colOff>
      <xdr:row>31</xdr:row>
      <xdr:rowOff>163284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DA4B128-00EE-FE34-465B-C5A7DF30A52B}"/>
            </a:ext>
          </a:extLst>
        </xdr:cNvPr>
        <xdr:cNvSpPr txBox="1"/>
      </xdr:nvSpPr>
      <xdr:spPr>
        <a:xfrm>
          <a:off x="1850358" y="3846752"/>
          <a:ext cx="6155859" cy="2924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6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Catatan:</a:t>
          </a:r>
        </a:p>
        <a:p>
          <a:r>
            <a:rPr lang="en-ID" sz="16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- Tinggal Mengganti</a:t>
          </a:r>
          <a:r>
            <a:rPr lang="en-ID" sz="16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Nama dan Lainnya sesuai kebutuhan</a:t>
          </a:r>
        </a:p>
        <a:p>
          <a:r>
            <a:rPr lang="en-ID" sz="16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- Cukup isi dengan format berikut di kotak masing-masing:</a:t>
          </a:r>
        </a:p>
        <a:p>
          <a:r>
            <a:rPr lang="en-ID" sz="16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  </a:t>
          </a:r>
          <a:r>
            <a:rPr lang="en-ID" sz="1600" b="1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Hadir = .</a:t>
          </a:r>
        </a:p>
        <a:p>
          <a:r>
            <a:rPr lang="en-ID" sz="1600" b="1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  Alpa = A</a:t>
          </a:r>
        </a:p>
        <a:p>
          <a:r>
            <a:rPr lang="en-ID" sz="1600" b="1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  Sakit = S</a:t>
          </a:r>
        </a:p>
        <a:p>
          <a:r>
            <a:rPr lang="en-ID" sz="1600" b="1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  Izin = I</a:t>
          </a:r>
          <a:br>
            <a:rPr lang="id-ID" sz="1600" b="1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</a:br>
          <a:r>
            <a:rPr lang="id-ID" sz="1600" b="1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  Libur = L</a:t>
          </a:r>
          <a:br>
            <a:rPr lang="id-ID" sz="1600" b="1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</a:br>
          <a:r>
            <a:rPr lang="id-ID" sz="1600" b="1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  Cuti = C</a:t>
          </a:r>
          <a:endParaRPr lang="en-ID" sz="1600" b="1" baseline="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r>
            <a:rPr lang="en-ID" sz="16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- Warna dan jumlah akan otomatis berubah</a:t>
          </a:r>
          <a:endParaRPr lang="en-ID" sz="16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18</xdr:col>
      <xdr:colOff>261043</xdr:colOff>
      <xdr:row>17</xdr:row>
      <xdr:rowOff>4093</xdr:rowOff>
    </xdr:from>
    <xdr:to>
      <xdr:col>34</xdr:col>
      <xdr:colOff>310017</xdr:colOff>
      <xdr:row>33</xdr:row>
      <xdr:rowOff>83126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FA59C26-109A-4E75-A65D-25F05948D552}"/>
            </a:ext>
          </a:extLst>
        </xdr:cNvPr>
        <xdr:cNvSpPr txBox="1"/>
      </xdr:nvSpPr>
      <xdr:spPr>
        <a:xfrm>
          <a:off x="8171988" y="3911075"/>
          <a:ext cx="6103411" cy="31824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6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Catatan</a:t>
          </a:r>
          <a:r>
            <a:rPr lang="id-ID" sz="16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Cuti</a:t>
          </a:r>
          <a:r>
            <a:rPr lang="en-ID" sz="16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:</a:t>
          </a:r>
        </a:p>
        <a:p>
          <a:r>
            <a:rPr lang="en-ID" sz="16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- </a:t>
          </a:r>
          <a:r>
            <a:rPr lang="id-ID" sz="16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Menikah = CM</a:t>
          </a:r>
        </a:p>
        <a:p>
          <a:r>
            <a:rPr lang="id-ID" sz="16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- Sakit = CS</a:t>
          </a:r>
        </a:p>
        <a:p>
          <a:r>
            <a:rPr lang="id-ID" sz="16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- Acara Keluarga = CAK</a:t>
          </a:r>
        </a:p>
        <a:p>
          <a:r>
            <a:rPr lang="id-ID" sz="16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- Honeymoon = CHM</a:t>
          </a:r>
        </a:p>
        <a:p>
          <a:endParaRPr lang="id-ID" sz="1600" baseline="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r>
            <a:rPr lang="id-ID" sz="1600" b="1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Uang Makan/Transport</a:t>
          </a:r>
          <a:r>
            <a:rPr lang="id-ID" sz="16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: 15.000/Day</a:t>
          </a:r>
        </a:p>
        <a:p>
          <a:r>
            <a:rPr lang="id-ID" sz="1600" b="1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GajiPokokJabatan</a:t>
          </a:r>
          <a:r>
            <a:rPr lang="id-ID" sz="16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: =(G.Harian*COUNTA(DataAbsen))-(Libur*GajiHarian)</a:t>
          </a:r>
        </a:p>
        <a:p>
          <a:r>
            <a:rPr lang="id-ID" sz="1600" b="1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PotonganAlpa:</a:t>
          </a:r>
          <a:r>
            <a:rPr lang="id-ID" sz="16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=AI6*AQ6</a:t>
          </a:r>
        </a:p>
        <a:p>
          <a:r>
            <a:rPr lang="id-ID" sz="1600" b="1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Uang M/T:</a:t>
          </a:r>
          <a:r>
            <a:rPr lang="id-ID" sz="16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=Hadir*15000</a:t>
          </a:r>
        </a:p>
        <a:p>
          <a:r>
            <a:rPr lang="id-ID" sz="1600" b="1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Gaji Total:</a:t>
          </a:r>
          <a:r>
            <a:rPr lang="id-ID" sz="16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=G.PokokJabatan+UangMT-PotonganAlpa</a:t>
          </a:r>
        </a:p>
        <a:p>
          <a:endParaRPr lang="id-ID" sz="1600" baseline="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endParaRPr lang="id-ID" sz="1600" baseline="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endParaRPr lang="en-ID" sz="16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35</xdr:col>
      <xdr:colOff>76977</xdr:colOff>
      <xdr:row>17</xdr:row>
      <xdr:rowOff>161447</xdr:rowOff>
    </xdr:from>
    <xdr:to>
      <xdr:col>41</xdr:col>
      <xdr:colOff>933472</xdr:colOff>
      <xdr:row>32</xdr:row>
      <xdr:rowOff>146466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1A1EF21-D603-4860-9BDB-229E1B5BFF52}"/>
            </a:ext>
          </a:extLst>
        </xdr:cNvPr>
        <xdr:cNvSpPr txBox="1"/>
      </xdr:nvSpPr>
      <xdr:spPr>
        <a:xfrm>
          <a:off x="14485704" y="4068429"/>
          <a:ext cx="6162786" cy="289447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6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Catatan</a:t>
          </a:r>
          <a:r>
            <a:rPr lang="id-ID" sz="16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Gaji Harian </a:t>
          </a:r>
          <a:r>
            <a:rPr lang="en-ID" sz="16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:</a:t>
          </a:r>
          <a:r>
            <a:rPr lang="id-ID" sz="16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</a:p>
        <a:p>
          <a:r>
            <a:rPr lang="id-ID" sz="16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- Manager Operasional</a:t>
          </a:r>
          <a:r>
            <a:rPr lang="id-ID" sz="16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= 350.000</a:t>
          </a:r>
        </a:p>
        <a:p>
          <a:r>
            <a:rPr lang="id-ID" sz="16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- Manager Cabang = 340.000</a:t>
          </a:r>
        </a:p>
        <a:p>
          <a:r>
            <a:rPr lang="id-ID" sz="16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- Human Resource = 270.000</a:t>
          </a:r>
        </a:p>
        <a:p>
          <a:r>
            <a:rPr lang="id-ID" sz="16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- IT Developer = 270.000</a:t>
          </a:r>
        </a:p>
        <a:p>
          <a:r>
            <a:rPr lang="id-ID" sz="16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-</a:t>
          </a:r>
          <a:r>
            <a:rPr lang="id-ID" sz="16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Produksi = 230.000</a:t>
          </a:r>
        </a:p>
        <a:p>
          <a:r>
            <a:rPr lang="id-ID" sz="16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- Cyber Security = 270.000</a:t>
          </a:r>
        </a:p>
        <a:p>
          <a:r>
            <a:rPr lang="id-ID" sz="16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- Admin = 250.000</a:t>
          </a:r>
        </a:p>
        <a:p>
          <a:r>
            <a:rPr lang="id-ID" sz="16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- Quality Control = 250.000</a:t>
          </a:r>
          <a:endParaRPr lang="en-ID" sz="16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AU20"/>
  <sheetViews>
    <sheetView tabSelected="1" zoomScale="40" zoomScaleNormal="40" zoomScaleSheetLayoutView="40" workbookViewId="0">
      <selection activeCell="AW23" sqref="AW23"/>
    </sheetView>
  </sheetViews>
  <sheetFormatPr defaultColWidth="9.109375" defaultRowHeight="15" x14ac:dyDescent="0.3"/>
  <cols>
    <col min="1" max="1" width="4.6640625" style="1" customWidth="1"/>
    <col min="2" max="2" width="5" style="1" customWidth="1"/>
    <col min="3" max="3" width="21.6640625" style="1" customWidth="1"/>
    <col min="4" max="4" width="5.5546875" style="4" bestFit="1" customWidth="1"/>
    <col min="5" max="5" width="5.33203125" style="4" bestFit="1" customWidth="1"/>
    <col min="6" max="6" width="5.5546875" style="4" bestFit="1" customWidth="1"/>
    <col min="7" max="7" width="4.77734375" style="4" bestFit="1" customWidth="1"/>
    <col min="8" max="8" width="5.77734375" style="4" bestFit="1" customWidth="1"/>
    <col min="9" max="9" width="6.33203125" style="4" bestFit="1" customWidth="1"/>
    <col min="10" max="10" width="6.21875" style="4" bestFit="1" customWidth="1"/>
    <col min="11" max="11" width="5.5546875" style="4" bestFit="1" customWidth="1"/>
    <col min="12" max="12" width="5.33203125" style="4" bestFit="1" customWidth="1"/>
    <col min="13" max="13" width="5.5546875" style="4" bestFit="1" customWidth="1"/>
    <col min="14" max="14" width="4.77734375" style="4" bestFit="1" customWidth="1"/>
    <col min="15" max="15" width="5.77734375" style="4" bestFit="1" customWidth="1"/>
    <col min="16" max="16" width="6.33203125" style="4" bestFit="1" customWidth="1"/>
    <col min="17" max="17" width="6.21875" style="4" bestFit="1" customWidth="1"/>
    <col min="18" max="18" width="5.5546875" style="4" bestFit="1" customWidth="1"/>
    <col min="19" max="19" width="5.33203125" style="4" bestFit="1" customWidth="1"/>
    <col min="20" max="20" width="5.5546875" style="4" bestFit="1" customWidth="1"/>
    <col min="21" max="21" width="4.77734375" style="4" bestFit="1" customWidth="1"/>
    <col min="22" max="22" width="5.77734375" style="4" bestFit="1" customWidth="1"/>
    <col min="23" max="23" width="6.33203125" style="4" bestFit="1" customWidth="1"/>
    <col min="24" max="24" width="6.21875" style="4" bestFit="1" customWidth="1"/>
    <col min="25" max="25" width="5.5546875" style="4" bestFit="1" customWidth="1"/>
    <col min="26" max="26" width="5.33203125" style="4" bestFit="1" customWidth="1"/>
    <col min="27" max="27" width="5.5546875" style="4" bestFit="1" customWidth="1"/>
    <col min="28" max="28" width="4.77734375" style="4" bestFit="1" customWidth="1"/>
    <col min="29" max="29" width="5.77734375" style="4" bestFit="1" customWidth="1"/>
    <col min="30" max="30" width="6.33203125" style="4" bestFit="1" customWidth="1"/>
    <col min="31" max="31" width="6.21875" style="4" bestFit="1" customWidth="1"/>
    <col min="32" max="32" width="5.5546875" style="4" bestFit="1" customWidth="1"/>
    <col min="33" max="33" width="5.33203125" style="4" bestFit="1" customWidth="1"/>
    <col min="34" max="34" width="5.5546875" style="4" bestFit="1" customWidth="1"/>
    <col min="35" max="35" width="6.5546875" style="1" bestFit="1" customWidth="1"/>
    <col min="36" max="36" width="7.33203125" style="1" bestFit="1" customWidth="1"/>
    <col min="37" max="37" width="5.6640625" style="1" bestFit="1" customWidth="1"/>
    <col min="38" max="38" width="12.21875" style="1" customWidth="1"/>
    <col min="39" max="39" width="11.6640625" style="1" customWidth="1"/>
    <col min="40" max="40" width="16.88671875" style="1" customWidth="1"/>
    <col min="41" max="42" width="23.44140625" style="1" customWidth="1"/>
    <col min="43" max="43" width="23.33203125" style="1" customWidth="1"/>
    <col min="44" max="44" width="28.21875" style="1" customWidth="1"/>
    <col min="45" max="45" width="18.5546875" style="1" customWidth="1"/>
    <col min="46" max="46" width="18.77734375" style="1" customWidth="1"/>
    <col min="47" max="47" width="5.44140625" style="1" customWidth="1"/>
    <col min="48" max="16384" width="9.109375" style="1"/>
  </cols>
  <sheetData>
    <row r="2" spans="2:47" ht="43.8" x14ac:dyDescent="0.3">
      <c r="B2" s="42" t="s">
        <v>8</v>
      </c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</row>
    <row r="3" spans="2:47" s="2" customFormat="1" ht="28.2" customHeight="1" x14ac:dyDescent="0.3">
      <c r="B3" s="35" t="s">
        <v>25</v>
      </c>
      <c r="C3" s="35"/>
      <c r="D3" s="38" t="s">
        <v>5</v>
      </c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28" t="s">
        <v>9</v>
      </c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2"/>
    </row>
    <row r="4" spans="2:47" s="2" customFormat="1" ht="18" customHeight="1" x14ac:dyDescent="0.3">
      <c r="B4" s="34" t="s">
        <v>10</v>
      </c>
      <c r="C4" s="34" t="s">
        <v>0</v>
      </c>
      <c r="D4" s="25">
        <v>1</v>
      </c>
      <c r="E4" s="25">
        <v>2</v>
      </c>
      <c r="F4" s="25">
        <v>3</v>
      </c>
      <c r="G4" s="25">
        <v>4</v>
      </c>
      <c r="H4" s="25">
        <v>5</v>
      </c>
      <c r="I4" s="25">
        <v>6</v>
      </c>
      <c r="J4" s="25">
        <v>7</v>
      </c>
      <c r="K4" s="25">
        <v>8</v>
      </c>
      <c r="L4" s="25">
        <v>9</v>
      </c>
      <c r="M4" s="25">
        <v>10</v>
      </c>
      <c r="N4" s="25">
        <v>11</v>
      </c>
      <c r="O4" s="25">
        <v>12</v>
      </c>
      <c r="P4" s="25">
        <v>13</v>
      </c>
      <c r="Q4" s="25">
        <v>14</v>
      </c>
      <c r="R4" s="25">
        <v>15</v>
      </c>
      <c r="S4" s="25">
        <v>16</v>
      </c>
      <c r="T4" s="25">
        <v>17</v>
      </c>
      <c r="U4" s="25">
        <v>18</v>
      </c>
      <c r="V4" s="25">
        <v>19</v>
      </c>
      <c r="W4" s="25">
        <v>20</v>
      </c>
      <c r="X4" s="25">
        <v>21</v>
      </c>
      <c r="Y4" s="25">
        <v>22</v>
      </c>
      <c r="Z4" s="25">
        <v>23</v>
      </c>
      <c r="AA4" s="25">
        <v>24</v>
      </c>
      <c r="AB4" s="25">
        <v>25</v>
      </c>
      <c r="AC4" s="25">
        <v>26</v>
      </c>
      <c r="AD4" s="25">
        <v>27</v>
      </c>
      <c r="AE4" s="25">
        <v>28</v>
      </c>
      <c r="AF4" s="25">
        <v>29</v>
      </c>
      <c r="AG4" s="25">
        <v>30</v>
      </c>
      <c r="AH4" s="25">
        <v>31</v>
      </c>
      <c r="AI4" s="39" t="s">
        <v>1</v>
      </c>
      <c r="AJ4" s="40" t="s">
        <v>2</v>
      </c>
      <c r="AK4" s="41" t="s">
        <v>3</v>
      </c>
      <c r="AL4" s="36" t="s">
        <v>4</v>
      </c>
      <c r="AM4" s="31" t="s">
        <v>14</v>
      </c>
      <c r="AN4" s="33" t="s">
        <v>15</v>
      </c>
      <c r="AO4" s="27" t="s">
        <v>31</v>
      </c>
      <c r="AP4" s="27" t="s">
        <v>41</v>
      </c>
      <c r="AQ4" s="27" t="s">
        <v>30</v>
      </c>
      <c r="AR4" s="29" t="s">
        <v>40</v>
      </c>
      <c r="AS4" s="27" t="s">
        <v>38</v>
      </c>
      <c r="AT4" s="27" t="s">
        <v>42</v>
      </c>
    </row>
    <row r="5" spans="2:47" s="2" customFormat="1" ht="22.8" customHeight="1" x14ac:dyDescent="0.3">
      <c r="B5" s="34"/>
      <c r="C5" s="34"/>
      <c r="D5" s="25" t="str">
        <f ca="1">LEFT(TEXT(DATE(YEAR(TODAY()),MONTH(TODAY()),D4),"DDDD"),3)</f>
        <v>Sab</v>
      </c>
      <c r="E5" s="25" t="str">
        <f t="shared" ref="E5:AH5" ca="1" si="0">LEFT(TEXT(DATE(YEAR(TODAY()),MONTH(TODAY()),E4),"DDDD"),3)</f>
        <v>Min</v>
      </c>
      <c r="F5" s="25" t="str">
        <f t="shared" ca="1" si="0"/>
        <v>Sen</v>
      </c>
      <c r="G5" s="25" t="str">
        <f t="shared" ca="1" si="0"/>
        <v>Sel</v>
      </c>
      <c r="H5" s="25" t="str">
        <f t="shared" ca="1" si="0"/>
        <v>Rab</v>
      </c>
      <c r="I5" s="25" t="str">
        <f t="shared" ca="1" si="0"/>
        <v>Kam</v>
      </c>
      <c r="J5" s="25" t="str">
        <f t="shared" ca="1" si="0"/>
        <v>Jum</v>
      </c>
      <c r="K5" s="25" t="str">
        <f t="shared" ca="1" si="0"/>
        <v>Sab</v>
      </c>
      <c r="L5" s="25" t="str">
        <f t="shared" ca="1" si="0"/>
        <v>Min</v>
      </c>
      <c r="M5" s="25" t="str">
        <f t="shared" ca="1" si="0"/>
        <v>Sen</v>
      </c>
      <c r="N5" s="25" t="str">
        <f t="shared" ca="1" si="0"/>
        <v>Sel</v>
      </c>
      <c r="O5" s="25" t="str">
        <f t="shared" ca="1" si="0"/>
        <v>Rab</v>
      </c>
      <c r="P5" s="25" t="str">
        <f t="shared" ca="1" si="0"/>
        <v>Kam</v>
      </c>
      <c r="Q5" s="25" t="str">
        <f t="shared" ca="1" si="0"/>
        <v>Jum</v>
      </c>
      <c r="R5" s="25" t="str">
        <f t="shared" ca="1" si="0"/>
        <v>Sab</v>
      </c>
      <c r="S5" s="25" t="str">
        <f t="shared" ca="1" si="0"/>
        <v>Min</v>
      </c>
      <c r="T5" s="25" t="str">
        <f t="shared" ca="1" si="0"/>
        <v>Sen</v>
      </c>
      <c r="U5" s="25" t="str">
        <f t="shared" ca="1" si="0"/>
        <v>Sel</v>
      </c>
      <c r="V5" s="25" t="str">
        <f t="shared" ca="1" si="0"/>
        <v>Rab</v>
      </c>
      <c r="W5" s="25" t="str">
        <f t="shared" ca="1" si="0"/>
        <v>Kam</v>
      </c>
      <c r="X5" s="25" t="str">
        <f t="shared" ca="1" si="0"/>
        <v>Jum</v>
      </c>
      <c r="Y5" s="25" t="str">
        <f t="shared" ca="1" si="0"/>
        <v>Sab</v>
      </c>
      <c r="Z5" s="25" t="str">
        <f t="shared" ca="1" si="0"/>
        <v>Min</v>
      </c>
      <c r="AA5" s="25" t="str">
        <f t="shared" ca="1" si="0"/>
        <v>Sen</v>
      </c>
      <c r="AB5" s="25" t="str">
        <f t="shared" ca="1" si="0"/>
        <v>Sel</v>
      </c>
      <c r="AC5" s="25" t="str">
        <f t="shared" ca="1" si="0"/>
        <v>Rab</v>
      </c>
      <c r="AD5" s="25" t="str">
        <f t="shared" ca="1" si="0"/>
        <v>Kam</v>
      </c>
      <c r="AE5" s="25" t="str">
        <f t="shared" ca="1" si="0"/>
        <v>Jum</v>
      </c>
      <c r="AF5" s="25" t="str">
        <f t="shared" ca="1" si="0"/>
        <v>Sab</v>
      </c>
      <c r="AG5" s="25" t="str">
        <f t="shared" ca="1" si="0"/>
        <v>Min</v>
      </c>
      <c r="AH5" s="25" t="str">
        <f t="shared" ca="1" si="0"/>
        <v>Sen</v>
      </c>
      <c r="AI5" s="39"/>
      <c r="AJ5" s="40"/>
      <c r="AK5" s="41"/>
      <c r="AL5" s="36"/>
      <c r="AM5" s="32"/>
      <c r="AN5" s="33"/>
      <c r="AO5" s="27"/>
      <c r="AP5" s="27"/>
      <c r="AQ5" s="27"/>
      <c r="AR5" s="30"/>
      <c r="AS5" s="27"/>
      <c r="AT5" s="27"/>
    </row>
    <row r="6" spans="2:47" ht="15" customHeight="1" x14ac:dyDescent="0.3">
      <c r="B6" s="23">
        <v>1</v>
      </c>
      <c r="C6" s="24" t="s">
        <v>17</v>
      </c>
      <c r="D6" s="9" t="s">
        <v>16</v>
      </c>
      <c r="E6" s="9" t="s">
        <v>16</v>
      </c>
      <c r="F6" s="9" t="s">
        <v>11</v>
      </c>
      <c r="G6" s="13" t="s">
        <v>7</v>
      </c>
      <c r="H6" s="3" t="s">
        <v>7</v>
      </c>
      <c r="I6" s="9" t="s">
        <v>13</v>
      </c>
      <c r="J6" s="3" t="s">
        <v>7</v>
      </c>
      <c r="K6" s="9" t="s">
        <v>16</v>
      </c>
      <c r="L6" s="9" t="s">
        <v>16</v>
      </c>
      <c r="M6" s="3" t="s">
        <v>7</v>
      </c>
      <c r="N6" s="13" t="s">
        <v>7</v>
      </c>
      <c r="O6" s="3" t="s">
        <v>7</v>
      </c>
      <c r="P6" s="9" t="s">
        <v>13</v>
      </c>
      <c r="Q6" s="3" t="s">
        <v>7</v>
      </c>
      <c r="R6" s="9" t="s">
        <v>16</v>
      </c>
      <c r="S6" s="9" t="s">
        <v>16</v>
      </c>
      <c r="T6" s="9" t="s">
        <v>11</v>
      </c>
      <c r="U6" s="13" t="s">
        <v>7</v>
      </c>
      <c r="V6" s="3" t="s">
        <v>7</v>
      </c>
      <c r="W6" s="3" t="s">
        <v>7</v>
      </c>
      <c r="X6" s="9" t="s">
        <v>11</v>
      </c>
      <c r="Y6" s="9" t="s">
        <v>16</v>
      </c>
      <c r="Z6" s="9" t="s">
        <v>16</v>
      </c>
      <c r="AA6" s="3" t="s">
        <v>7</v>
      </c>
      <c r="AB6" s="14" t="s">
        <v>29</v>
      </c>
      <c r="AC6" s="9" t="s">
        <v>29</v>
      </c>
      <c r="AD6" s="9" t="s">
        <v>13</v>
      </c>
      <c r="AE6" s="3" t="s">
        <v>7</v>
      </c>
      <c r="AF6" s="9" t="s">
        <v>16</v>
      </c>
      <c r="AG6" s="9" t="s">
        <v>16</v>
      </c>
      <c r="AH6" s="3" t="s">
        <v>7</v>
      </c>
      <c r="AI6" s="5">
        <f>COUNTIF(D6:AH6,"A")</f>
        <v>3</v>
      </c>
      <c r="AJ6" s="6">
        <f>COUNTIF(D6:AH6,"S")</f>
        <v>0</v>
      </c>
      <c r="AK6" s="7">
        <f>COUNTIF(D6:AH6,"I")</f>
        <v>3</v>
      </c>
      <c r="AL6" s="8">
        <f>COUNTIF(D6:AH6,".")</f>
        <v>13</v>
      </c>
      <c r="AM6" s="11">
        <f>COUNTIF(D6:AH6,"L")</f>
        <v>10</v>
      </c>
      <c r="AN6" s="12" cm="1">
        <f t="array" ref="AN6">SUM(COUNTIF(D6:AH6,{"CM";"CS";"CAK";"CHM"}))</f>
        <v>2</v>
      </c>
      <c r="AO6" s="16" t="s">
        <v>32</v>
      </c>
      <c r="AP6" s="17">
        <f t="shared" ref="AP6:AP15" si="1">(AQ6*COUNTA(D6:AH6))-(AM6*AQ6)</f>
        <v>7350000</v>
      </c>
      <c r="AQ6" s="17">
        <f>IF(AO6="Manager Operasional",350000,IF(AO6="Manager Cabang",340000,IF(AO6="Human Resource",270000,IF(AO6="IT Developer",270000,IF(AO6="Produksi",230000,IF(AO6="Cyber Security",270000,IF(AO6="Admin",250000,IF(AO6="Quality Control",250000,0))))))))</f>
        <v>350000</v>
      </c>
      <c r="AR6" s="17">
        <f t="shared" ref="AR6:AR15" si="2">AI6*AQ6</f>
        <v>1050000</v>
      </c>
      <c r="AS6" s="17">
        <f t="shared" ref="AS6:AS15" si="3">AL6*15000</f>
        <v>195000</v>
      </c>
      <c r="AT6" s="17">
        <f>AP6+AS6-AR6</f>
        <v>6495000</v>
      </c>
    </row>
    <row r="7" spans="2:47" ht="16.2" x14ac:dyDescent="0.3">
      <c r="B7" s="23">
        <f>B6+1</f>
        <v>2</v>
      </c>
      <c r="C7" s="24" t="s">
        <v>43</v>
      </c>
      <c r="D7" s="9" t="s">
        <v>16</v>
      </c>
      <c r="E7" s="9" t="s">
        <v>16</v>
      </c>
      <c r="F7" s="3" t="s">
        <v>7</v>
      </c>
      <c r="G7" s="13" t="s">
        <v>7</v>
      </c>
      <c r="H7" s="3" t="s">
        <v>7</v>
      </c>
      <c r="I7" s="3" t="s">
        <v>7</v>
      </c>
      <c r="J7" s="9" t="s">
        <v>12</v>
      </c>
      <c r="K7" s="9" t="s">
        <v>16</v>
      </c>
      <c r="L7" s="9" t="s">
        <v>16</v>
      </c>
      <c r="M7" s="3" t="s">
        <v>7</v>
      </c>
      <c r="N7" s="13" t="s">
        <v>7</v>
      </c>
      <c r="O7" s="9" t="s">
        <v>26</v>
      </c>
      <c r="P7" s="3" t="s">
        <v>7</v>
      </c>
      <c r="Q7" s="9" t="s">
        <v>12</v>
      </c>
      <c r="R7" s="9" t="s">
        <v>16</v>
      </c>
      <c r="S7" s="9" t="s">
        <v>16</v>
      </c>
      <c r="T7" s="3" t="s">
        <v>7</v>
      </c>
      <c r="U7" s="13" t="s">
        <v>7</v>
      </c>
      <c r="V7" s="9" t="s">
        <v>26</v>
      </c>
      <c r="W7" s="9" t="s">
        <v>11</v>
      </c>
      <c r="X7" s="9" t="s">
        <v>12</v>
      </c>
      <c r="Y7" s="9" t="s">
        <v>16</v>
      </c>
      <c r="Z7" s="9" t="s">
        <v>16</v>
      </c>
      <c r="AA7" s="3" t="s">
        <v>7</v>
      </c>
      <c r="AB7" s="13" t="s">
        <v>7</v>
      </c>
      <c r="AC7" s="3" t="s">
        <v>7</v>
      </c>
      <c r="AD7" s="3" t="s">
        <v>7</v>
      </c>
      <c r="AE7" s="3" t="s">
        <v>7</v>
      </c>
      <c r="AF7" s="9" t="s">
        <v>16</v>
      </c>
      <c r="AG7" s="9" t="s">
        <v>16</v>
      </c>
      <c r="AH7" s="3" t="s">
        <v>7</v>
      </c>
      <c r="AI7" s="5">
        <f t="shared" ref="AI7:AI15" si="4">COUNTIF(D7:AH7,"A")</f>
        <v>1</v>
      </c>
      <c r="AJ7" s="6">
        <f t="shared" ref="AJ7:AJ15" si="5">COUNTIF(D7:AH7,"S")</f>
        <v>3</v>
      </c>
      <c r="AK7" s="7">
        <f t="shared" ref="AK7:AK15" si="6">COUNTIF(D7:AH7,"I")</f>
        <v>0</v>
      </c>
      <c r="AL7" s="8">
        <f t="shared" ref="AL7:AL15" si="7">COUNTIF(D7:AH7,".")</f>
        <v>15</v>
      </c>
      <c r="AM7" s="11">
        <f t="shared" ref="AM7:AM15" si="8">COUNTIF(D7:AH7,"L")</f>
        <v>10</v>
      </c>
      <c r="AN7" s="12" cm="1">
        <f t="array" ref="AN7">SUM(COUNTIF(D7:AH7,{"CM";"CS";"CAK";"CHM"}))</f>
        <v>2</v>
      </c>
      <c r="AO7" s="16" t="s">
        <v>44</v>
      </c>
      <c r="AP7" s="17">
        <f t="shared" si="1"/>
        <v>7140000</v>
      </c>
      <c r="AQ7" s="17">
        <f t="shared" ref="AQ7:AQ15" si="9">IF(AO7="Manager Operasional",350000,IF(AO7="Manager Cabang",340000,IF(AO7="Human Resource",270000,IF(AO7="IT Developer",270000,IF(AO7="Produksi",230000,IF(AO7="Cyber Security",270000,IF(AO7="Admin",250000,IF(AO7="Quality Control",250000,0))))))))</f>
        <v>340000</v>
      </c>
      <c r="AR7" s="17">
        <f t="shared" si="2"/>
        <v>340000</v>
      </c>
      <c r="AS7" s="17">
        <f t="shared" si="3"/>
        <v>225000</v>
      </c>
      <c r="AT7" s="17">
        <f t="shared" ref="AT7:AT15" si="10">AP7+AS7-AR7</f>
        <v>7025000</v>
      </c>
    </row>
    <row r="8" spans="2:47" ht="16.2" x14ac:dyDescent="0.3">
      <c r="B8" s="23">
        <f t="shared" ref="B8:B15" si="11">B7+1</f>
        <v>3</v>
      </c>
      <c r="C8" s="24" t="s">
        <v>19</v>
      </c>
      <c r="D8" s="9" t="s">
        <v>16</v>
      </c>
      <c r="E8" s="9" t="s">
        <v>16</v>
      </c>
      <c r="F8" s="3" t="s">
        <v>7</v>
      </c>
      <c r="G8" s="13" t="s">
        <v>7</v>
      </c>
      <c r="H8" s="3" t="s">
        <v>7</v>
      </c>
      <c r="I8" s="3" t="s">
        <v>7</v>
      </c>
      <c r="J8" s="3" t="s">
        <v>7</v>
      </c>
      <c r="K8" s="9" t="s">
        <v>16</v>
      </c>
      <c r="L8" s="9" t="s">
        <v>16</v>
      </c>
      <c r="M8" s="3" t="s">
        <v>7</v>
      </c>
      <c r="N8" s="13" t="s">
        <v>7</v>
      </c>
      <c r="O8" s="3" t="s">
        <v>7</v>
      </c>
      <c r="P8" s="3" t="s">
        <v>7</v>
      </c>
      <c r="Q8" s="3" t="s">
        <v>7</v>
      </c>
      <c r="R8" s="9" t="s">
        <v>16</v>
      </c>
      <c r="S8" s="9" t="s">
        <v>16</v>
      </c>
      <c r="T8" s="3" t="s">
        <v>7</v>
      </c>
      <c r="U8" s="13" t="s">
        <v>7</v>
      </c>
      <c r="V8" s="3" t="s">
        <v>7</v>
      </c>
      <c r="W8" s="3" t="s">
        <v>7</v>
      </c>
      <c r="X8" s="3" t="s">
        <v>7</v>
      </c>
      <c r="Y8" s="9" t="s">
        <v>16</v>
      </c>
      <c r="Z8" s="9" t="s">
        <v>16</v>
      </c>
      <c r="AA8" s="3" t="s">
        <v>7</v>
      </c>
      <c r="AB8" s="13" t="s">
        <v>7</v>
      </c>
      <c r="AC8" s="3" t="s">
        <v>7</v>
      </c>
      <c r="AD8" s="3" t="s">
        <v>7</v>
      </c>
      <c r="AE8" s="3" t="s">
        <v>7</v>
      </c>
      <c r="AF8" s="9" t="s">
        <v>16</v>
      </c>
      <c r="AG8" s="9" t="s">
        <v>16</v>
      </c>
      <c r="AH8" s="3" t="s">
        <v>7</v>
      </c>
      <c r="AI8" s="5">
        <f t="shared" si="4"/>
        <v>0</v>
      </c>
      <c r="AJ8" s="6">
        <f t="shared" si="5"/>
        <v>0</v>
      </c>
      <c r="AK8" s="7">
        <f t="shared" si="6"/>
        <v>0</v>
      </c>
      <c r="AL8" s="8">
        <f t="shared" si="7"/>
        <v>21</v>
      </c>
      <c r="AM8" s="11">
        <f t="shared" si="8"/>
        <v>10</v>
      </c>
      <c r="AN8" s="12" cm="1">
        <f t="array" ref="AN8">SUM(COUNTIF(D8:AH8,{"CM";"CS";"CAK";"CHM"}))</f>
        <v>0</v>
      </c>
      <c r="AO8" s="16" t="s">
        <v>34</v>
      </c>
      <c r="AP8" s="17">
        <f t="shared" si="1"/>
        <v>5670000</v>
      </c>
      <c r="AQ8" s="17">
        <f t="shared" si="9"/>
        <v>270000</v>
      </c>
      <c r="AR8" s="17">
        <f t="shared" si="2"/>
        <v>0</v>
      </c>
      <c r="AS8" s="17">
        <f t="shared" si="3"/>
        <v>315000</v>
      </c>
      <c r="AT8" s="17">
        <f t="shared" si="10"/>
        <v>5985000</v>
      </c>
    </row>
    <row r="9" spans="2:47" ht="16.2" x14ac:dyDescent="0.3">
      <c r="B9" s="23">
        <f t="shared" si="11"/>
        <v>4</v>
      </c>
      <c r="C9" s="24" t="s">
        <v>20</v>
      </c>
      <c r="D9" s="9" t="s">
        <v>16</v>
      </c>
      <c r="E9" s="9" t="s">
        <v>16</v>
      </c>
      <c r="F9" s="3" t="s">
        <v>7</v>
      </c>
      <c r="G9" s="13" t="s">
        <v>7</v>
      </c>
      <c r="H9" s="9" t="s">
        <v>11</v>
      </c>
      <c r="I9" s="3" t="s">
        <v>7</v>
      </c>
      <c r="J9" s="9" t="s">
        <v>13</v>
      </c>
      <c r="K9" s="9" t="s">
        <v>16</v>
      </c>
      <c r="L9" s="9" t="s">
        <v>16</v>
      </c>
      <c r="M9" s="3" t="s">
        <v>7</v>
      </c>
      <c r="N9" s="13" t="s">
        <v>7</v>
      </c>
      <c r="O9" s="9" t="s">
        <v>12</v>
      </c>
      <c r="P9" s="3" t="s">
        <v>7</v>
      </c>
      <c r="Q9" s="9" t="s">
        <v>13</v>
      </c>
      <c r="R9" s="9" t="s">
        <v>16</v>
      </c>
      <c r="S9" s="9" t="s">
        <v>16</v>
      </c>
      <c r="T9" s="3" t="s">
        <v>7</v>
      </c>
      <c r="U9" s="13" t="s">
        <v>7</v>
      </c>
      <c r="V9" s="3" t="s">
        <v>7</v>
      </c>
      <c r="W9" s="3" t="s">
        <v>7</v>
      </c>
      <c r="X9" s="9" t="s">
        <v>13</v>
      </c>
      <c r="Y9" s="9" t="s">
        <v>16</v>
      </c>
      <c r="Z9" s="9" t="s">
        <v>16</v>
      </c>
      <c r="AA9" s="3" t="s">
        <v>7</v>
      </c>
      <c r="AB9" s="13" t="s">
        <v>7</v>
      </c>
      <c r="AC9" s="9" t="s">
        <v>12</v>
      </c>
      <c r="AD9" s="3" t="s">
        <v>7</v>
      </c>
      <c r="AE9" s="9" t="s">
        <v>13</v>
      </c>
      <c r="AF9" s="9" t="s">
        <v>16</v>
      </c>
      <c r="AG9" s="9" t="s">
        <v>16</v>
      </c>
      <c r="AH9" s="3" t="s">
        <v>7</v>
      </c>
      <c r="AI9" s="5">
        <f t="shared" si="4"/>
        <v>1</v>
      </c>
      <c r="AJ9" s="6">
        <f t="shared" si="5"/>
        <v>2</v>
      </c>
      <c r="AK9" s="7">
        <f t="shared" si="6"/>
        <v>4</v>
      </c>
      <c r="AL9" s="8">
        <f t="shared" si="7"/>
        <v>14</v>
      </c>
      <c r="AM9" s="11">
        <f t="shared" si="8"/>
        <v>10</v>
      </c>
      <c r="AN9" s="12" cm="1">
        <f t="array" ref="AN9">SUM(COUNTIF(D9:AH9,{"CM";"CS";"CAK";"CHM"}))</f>
        <v>0</v>
      </c>
      <c r="AO9" s="16" t="s">
        <v>33</v>
      </c>
      <c r="AP9" s="17">
        <f t="shared" si="1"/>
        <v>5670000</v>
      </c>
      <c r="AQ9" s="17">
        <f t="shared" si="9"/>
        <v>270000</v>
      </c>
      <c r="AR9" s="17">
        <f t="shared" si="2"/>
        <v>270000</v>
      </c>
      <c r="AS9" s="17">
        <f t="shared" si="3"/>
        <v>210000</v>
      </c>
      <c r="AT9" s="17">
        <f t="shared" si="10"/>
        <v>5610000</v>
      </c>
    </row>
    <row r="10" spans="2:47" ht="16.2" x14ac:dyDescent="0.3">
      <c r="B10" s="23">
        <f t="shared" si="11"/>
        <v>5</v>
      </c>
      <c r="C10" s="24" t="s">
        <v>18</v>
      </c>
      <c r="D10" s="9" t="s">
        <v>16</v>
      </c>
      <c r="E10" s="9" t="s">
        <v>16</v>
      </c>
      <c r="F10" s="3" t="s">
        <v>7</v>
      </c>
      <c r="G10" s="13" t="s">
        <v>7</v>
      </c>
      <c r="H10" s="9" t="s">
        <v>13</v>
      </c>
      <c r="I10" s="3" t="s">
        <v>7</v>
      </c>
      <c r="J10" s="3" t="s">
        <v>7</v>
      </c>
      <c r="K10" s="9" t="s">
        <v>16</v>
      </c>
      <c r="L10" s="9" t="s">
        <v>16</v>
      </c>
      <c r="M10" s="3" t="s">
        <v>7</v>
      </c>
      <c r="N10" s="13" t="s">
        <v>7</v>
      </c>
      <c r="O10" s="9" t="s">
        <v>13</v>
      </c>
      <c r="P10" s="3" t="s">
        <v>7</v>
      </c>
      <c r="Q10" s="3" t="s">
        <v>7</v>
      </c>
      <c r="R10" s="9" t="s">
        <v>16</v>
      </c>
      <c r="S10" s="9" t="s">
        <v>16</v>
      </c>
      <c r="T10" s="3" t="s">
        <v>7</v>
      </c>
      <c r="U10" s="13" t="s">
        <v>7</v>
      </c>
      <c r="V10" s="3" t="s">
        <v>7</v>
      </c>
      <c r="W10" s="3" t="s">
        <v>7</v>
      </c>
      <c r="X10" s="3" t="s">
        <v>7</v>
      </c>
      <c r="Y10" s="9" t="s">
        <v>16</v>
      </c>
      <c r="Z10" s="9" t="s">
        <v>16</v>
      </c>
      <c r="AA10" s="3" t="s">
        <v>7</v>
      </c>
      <c r="AB10" s="13" t="s">
        <v>7</v>
      </c>
      <c r="AC10" s="9" t="s">
        <v>11</v>
      </c>
      <c r="AD10" s="3" t="s">
        <v>7</v>
      </c>
      <c r="AE10" s="3" t="s">
        <v>7</v>
      </c>
      <c r="AF10" s="9" t="s">
        <v>16</v>
      </c>
      <c r="AG10" s="9" t="s">
        <v>16</v>
      </c>
      <c r="AH10" s="3" t="s">
        <v>7</v>
      </c>
      <c r="AI10" s="5">
        <f t="shared" si="4"/>
        <v>1</v>
      </c>
      <c r="AJ10" s="6">
        <f t="shared" si="5"/>
        <v>0</v>
      </c>
      <c r="AK10" s="7">
        <f t="shared" si="6"/>
        <v>2</v>
      </c>
      <c r="AL10" s="8">
        <f t="shared" si="7"/>
        <v>18</v>
      </c>
      <c r="AM10" s="11">
        <f t="shared" si="8"/>
        <v>10</v>
      </c>
      <c r="AN10" s="12" cm="1">
        <f t="array" ref="AN10">SUM(COUNTIF(D10:AH10,{"CM";"CS";"CAK";"CHM"}))</f>
        <v>0</v>
      </c>
      <c r="AO10" s="16" t="s">
        <v>39</v>
      </c>
      <c r="AP10" s="17">
        <f t="shared" si="1"/>
        <v>4830000</v>
      </c>
      <c r="AQ10" s="17">
        <f t="shared" si="9"/>
        <v>230000</v>
      </c>
      <c r="AR10" s="17">
        <f t="shared" si="2"/>
        <v>230000</v>
      </c>
      <c r="AS10" s="17">
        <f t="shared" si="3"/>
        <v>270000</v>
      </c>
      <c r="AT10" s="17">
        <f t="shared" si="10"/>
        <v>4870000</v>
      </c>
    </row>
    <row r="11" spans="2:47" ht="16.2" x14ac:dyDescent="0.3">
      <c r="B11" s="23">
        <f t="shared" si="11"/>
        <v>6</v>
      </c>
      <c r="C11" s="24" t="s">
        <v>21</v>
      </c>
      <c r="D11" s="9" t="s">
        <v>16</v>
      </c>
      <c r="E11" s="9" t="s">
        <v>16</v>
      </c>
      <c r="F11" s="3" t="s">
        <v>7</v>
      </c>
      <c r="G11" s="13" t="s">
        <v>7</v>
      </c>
      <c r="H11" s="3" t="s">
        <v>7</v>
      </c>
      <c r="I11" s="3" t="s">
        <v>7</v>
      </c>
      <c r="J11" s="3" t="s">
        <v>7</v>
      </c>
      <c r="K11" s="9" t="s">
        <v>16</v>
      </c>
      <c r="L11" s="9" t="s">
        <v>16</v>
      </c>
      <c r="M11" s="9" t="s">
        <v>11</v>
      </c>
      <c r="N11" s="13" t="s">
        <v>7</v>
      </c>
      <c r="O11" s="3" t="s">
        <v>7</v>
      </c>
      <c r="P11" s="3" t="s">
        <v>7</v>
      </c>
      <c r="Q11" s="3" t="s">
        <v>7</v>
      </c>
      <c r="R11" s="9" t="s">
        <v>16</v>
      </c>
      <c r="S11" s="9" t="s">
        <v>16</v>
      </c>
      <c r="T11" s="9" t="s">
        <v>11</v>
      </c>
      <c r="U11" s="13" t="s">
        <v>7</v>
      </c>
      <c r="V11" s="3" t="s">
        <v>7</v>
      </c>
      <c r="W11" s="3" t="s">
        <v>7</v>
      </c>
      <c r="X11" s="3" t="s">
        <v>7</v>
      </c>
      <c r="Y11" s="9" t="s">
        <v>16</v>
      </c>
      <c r="Z11" s="9" t="s">
        <v>16</v>
      </c>
      <c r="AA11" s="9" t="s">
        <v>12</v>
      </c>
      <c r="AB11" s="13" t="s">
        <v>7</v>
      </c>
      <c r="AC11" s="3" t="s">
        <v>7</v>
      </c>
      <c r="AD11" s="3" t="s">
        <v>7</v>
      </c>
      <c r="AE11" s="9" t="s">
        <v>27</v>
      </c>
      <c r="AF11" s="9" t="s">
        <v>16</v>
      </c>
      <c r="AG11" s="9" t="s">
        <v>16</v>
      </c>
      <c r="AH11" s="3" t="s">
        <v>7</v>
      </c>
      <c r="AI11" s="5">
        <f t="shared" si="4"/>
        <v>2</v>
      </c>
      <c r="AJ11" s="6">
        <f t="shared" si="5"/>
        <v>1</v>
      </c>
      <c r="AK11" s="7">
        <f t="shared" si="6"/>
        <v>0</v>
      </c>
      <c r="AL11" s="8">
        <f t="shared" si="7"/>
        <v>17</v>
      </c>
      <c r="AM11" s="11">
        <f t="shared" si="8"/>
        <v>10</v>
      </c>
      <c r="AN11" s="12" cm="1">
        <f t="array" ref="AN11">SUM(COUNTIF(D11:AH11,{"CM";"CS";"CAK";"CHM"}))</f>
        <v>1</v>
      </c>
      <c r="AO11" s="16" t="s">
        <v>39</v>
      </c>
      <c r="AP11" s="17">
        <f t="shared" si="1"/>
        <v>4830000</v>
      </c>
      <c r="AQ11" s="17">
        <f t="shared" si="9"/>
        <v>230000</v>
      </c>
      <c r="AR11" s="17">
        <f t="shared" si="2"/>
        <v>460000</v>
      </c>
      <c r="AS11" s="17">
        <f t="shared" si="3"/>
        <v>255000</v>
      </c>
      <c r="AT11" s="17">
        <f t="shared" si="10"/>
        <v>4625000</v>
      </c>
    </row>
    <row r="12" spans="2:47" ht="16.2" x14ac:dyDescent="0.3">
      <c r="B12" s="23">
        <f t="shared" si="11"/>
        <v>7</v>
      </c>
      <c r="C12" s="24" t="s">
        <v>22</v>
      </c>
      <c r="D12" s="9" t="s">
        <v>16</v>
      </c>
      <c r="E12" s="9" t="s">
        <v>16</v>
      </c>
      <c r="F12" s="3" t="s">
        <v>7</v>
      </c>
      <c r="G12" s="13" t="s">
        <v>7</v>
      </c>
      <c r="H12" s="3" t="s">
        <v>7</v>
      </c>
      <c r="I12" s="3" t="s">
        <v>7</v>
      </c>
      <c r="J12" s="3" t="s">
        <v>7</v>
      </c>
      <c r="K12" s="9" t="s">
        <v>16</v>
      </c>
      <c r="L12" s="9" t="s">
        <v>16</v>
      </c>
      <c r="M12" s="3" t="s">
        <v>7</v>
      </c>
      <c r="N12" s="13" t="s">
        <v>7</v>
      </c>
      <c r="O12" s="3" t="s">
        <v>7</v>
      </c>
      <c r="P12" s="3" t="s">
        <v>7</v>
      </c>
      <c r="Q12" s="3" t="s">
        <v>7</v>
      </c>
      <c r="R12" s="9" t="s">
        <v>16</v>
      </c>
      <c r="S12" s="9" t="s">
        <v>16</v>
      </c>
      <c r="T12" s="3" t="s">
        <v>7</v>
      </c>
      <c r="U12" s="13" t="s">
        <v>7</v>
      </c>
      <c r="V12" s="3" t="s">
        <v>7</v>
      </c>
      <c r="W12" s="3" t="s">
        <v>7</v>
      </c>
      <c r="X12" s="3" t="s">
        <v>7</v>
      </c>
      <c r="Y12" s="9" t="s">
        <v>16</v>
      </c>
      <c r="Z12" s="9" t="s">
        <v>16</v>
      </c>
      <c r="AA12" s="3" t="s">
        <v>7</v>
      </c>
      <c r="AB12" s="13" t="s">
        <v>7</v>
      </c>
      <c r="AC12" s="3" t="s">
        <v>7</v>
      </c>
      <c r="AD12" s="3" t="s">
        <v>7</v>
      </c>
      <c r="AE12" s="9" t="s">
        <v>27</v>
      </c>
      <c r="AF12" s="9" t="s">
        <v>16</v>
      </c>
      <c r="AG12" s="9" t="s">
        <v>16</v>
      </c>
      <c r="AH12" s="9" t="s">
        <v>13</v>
      </c>
      <c r="AI12" s="5">
        <f t="shared" si="4"/>
        <v>0</v>
      </c>
      <c r="AJ12" s="6">
        <f t="shared" si="5"/>
        <v>0</v>
      </c>
      <c r="AK12" s="7">
        <f t="shared" si="6"/>
        <v>1</v>
      </c>
      <c r="AL12" s="8">
        <f t="shared" si="7"/>
        <v>19</v>
      </c>
      <c r="AM12" s="11">
        <f t="shared" si="8"/>
        <v>10</v>
      </c>
      <c r="AN12" s="12" cm="1">
        <f t="array" ref="AN12">SUM(COUNTIF(D12:AH12,{"CM";"CS";"CAK";"CHM"}))</f>
        <v>1</v>
      </c>
      <c r="AO12" s="16" t="s">
        <v>33</v>
      </c>
      <c r="AP12" s="17">
        <f t="shared" si="1"/>
        <v>5670000</v>
      </c>
      <c r="AQ12" s="17">
        <f t="shared" si="9"/>
        <v>270000</v>
      </c>
      <c r="AR12" s="17">
        <f t="shared" si="2"/>
        <v>0</v>
      </c>
      <c r="AS12" s="17">
        <f t="shared" si="3"/>
        <v>285000</v>
      </c>
      <c r="AT12" s="17">
        <f t="shared" si="10"/>
        <v>5955000</v>
      </c>
    </row>
    <row r="13" spans="2:47" ht="16.2" x14ac:dyDescent="0.3">
      <c r="B13" s="23">
        <f t="shared" si="11"/>
        <v>8</v>
      </c>
      <c r="C13" s="24" t="s">
        <v>46</v>
      </c>
      <c r="D13" s="9" t="s">
        <v>16</v>
      </c>
      <c r="E13" s="9" t="s">
        <v>16</v>
      </c>
      <c r="F13" s="9" t="s">
        <v>12</v>
      </c>
      <c r="G13" s="13" t="s">
        <v>7</v>
      </c>
      <c r="H13" s="9" t="s">
        <v>12</v>
      </c>
      <c r="I13" s="3" t="s">
        <v>7</v>
      </c>
      <c r="J13" s="3" t="s">
        <v>7</v>
      </c>
      <c r="K13" s="9" t="s">
        <v>16</v>
      </c>
      <c r="L13" s="9" t="s">
        <v>16</v>
      </c>
      <c r="M13" s="3" t="s">
        <v>7</v>
      </c>
      <c r="N13" s="13" t="s">
        <v>7</v>
      </c>
      <c r="O13" s="9" t="s">
        <v>12</v>
      </c>
      <c r="P13" s="3" t="s">
        <v>7</v>
      </c>
      <c r="Q13" s="3" t="s">
        <v>7</v>
      </c>
      <c r="R13" s="9" t="s">
        <v>16</v>
      </c>
      <c r="S13" s="9" t="s">
        <v>16</v>
      </c>
      <c r="T13" s="3" t="s">
        <v>7</v>
      </c>
      <c r="U13" s="13" t="s">
        <v>7</v>
      </c>
      <c r="V13" s="9" t="s">
        <v>12</v>
      </c>
      <c r="W13" s="3" t="s">
        <v>7</v>
      </c>
      <c r="X13" s="3" t="s">
        <v>7</v>
      </c>
      <c r="Y13" s="9" t="s">
        <v>16</v>
      </c>
      <c r="Z13" s="9" t="s">
        <v>16</v>
      </c>
      <c r="AA13" s="3" t="s">
        <v>7</v>
      </c>
      <c r="AB13" s="13" t="s">
        <v>7</v>
      </c>
      <c r="AC13" s="9" t="s">
        <v>12</v>
      </c>
      <c r="AD13" s="3" t="s">
        <v>7</v>
      </c>
      <c r="AE13" s="3" t="s">
        <v>7</v>
      </c>
      <c r="AF13" s="9" t="s">
        <v>16</v>
      </c>
      <c r="AG13" s="9" t="s">
        <v>16</v>
      </c>
      <c r="AH13" s="3" t="s">
        <v>7</v>
      </c>
      <c r="AI13" s="5">
        <f t="shared" si="4"/>
        <v>0</v>
      </c>
      <c r="AJ13" s="6">
        <f t="shared" si="5"/>
        <v>5</v>
      </c>
      <c r="AK13" s="7">
        <f t="shared" si="6"/>
        <v>0</v>
      </c>
      <c r="AL13" s="8">
        <f t="shared" si="7"/>
        <v>16</v>
      </c>
      <c r="AM13" s="11">
        <f t="shared" si="8"/>
        <v>10</v>
      </c>
      <c r="AN13" s="12" cm="1">
        <f t="array" ref="AN13">SUM(COUNTIF(D13:AH13,{"CM";"CS";"CAK";"CHM"}))</f>
        <v>0</v>
      </c>
      <c r="AO13" s="16" t="s">
        <v>35</v>
      </c>
      <c r="AP13" s="17">
        <f t="shared" si="1"/>
        <v>5670000</v>
      </c>
      <c r="AQ13" s="17">
        <f t="shared" si="9"/>
        <v>270000</v>
      </c>
      <c r="AR13" s="17">
        <f t="shared" si="2"/>
        <v>0</v>
      </c>
      <c r="AS13" s="17">
        <f t="shared" si="3"/>
        <v>240000</v>
      </c>
      <c r="AT13" s="17">
        <f t="shared" si="10"/>
        <v>5910000</v>
      </c>
    </row>
    <row r="14" spans="2:47" ht="16.2" x14ac:dyDescent="0.3">
      <c r="B14" s="23">
        <f t="shared" si="11"/>
        <v>9</v>
      </c>
      <c r="C14" s="24" t="s">
        <v>23</v>
      </c>
      <c r="D14" s="9" t="s">
        <v>16</v>
      </c>
      <c r="E14" s="9" t="s">
        <v>16</v>
      </c>
      <c r="F14" s="3" t="s">
        <v>7</v>
      </c>
      <c r="G14" s="13" t="s">
        <v>7</v>
      </c>
      <c r="H14" s="3" t="s">
        <v>7</v>
      </c>
      <c r="I14" s="3" t="s">
        <v>7</v>
      </c>
      <c r="J14" s="3" t="s">
        <v>7</v>
      </c>
      <c r="K14" s="9" t="s">
        <v>16</v>
      </c>
      <c r="L14" s="9" t="s">
        <v>16</v>
      </c>
      <c r="M14" s="9" t="s">
        <v>12</v>
      </c>
      <c r="N14" s="13" t="s">
        <v>7</v>
      </c>
      <c r="O14" s="3" t="s">
        <v>7</v>
      </c>
      <c r="P14" s="3" t="s">
        <v>7</v>
      </c>
      <c r="Q14" s="3" t="s">
        <v>7</v>
      </c>
      <c r="R14" s="9" t="s">
        <v>16</v>
      </c>
      <c r="S14" s="9" t="s">
        <v>16</v>
      </c>
      <c r="T14" s="3" t="s">
        <v>7</v>
      </c>
      <c r="U14" s="13" t="s">
        <v>7</v>
      </c>
      <c r="V14" s="3" t="s">
        <v>7</v>
      </c>
      <c r="W14" s="3" t="s">
        <v>7</v>
      </c>
      <c r="X14" s="3" t="s">
        <v>7</v>
      </c>
      <c r="Y14" s="9" t="s">
        <v>16</v>
      </c>
      <c r="Z14" s="9" t="s">
        <v>16</v>
      </c>
      <c r="AA14" s="3" t="s">
        <v>7</v>
      </c>
      <c r="AB14" s="13" t="s">
        <v>7</v>
      </c>
      <c r="AC14" s="3" t="s">
        <v>7</v>
      </c>
      <c r="AD14" s="9" t="s">
        <v>27</v>
      </c>
      <c r="AE14" s="3" t="s">
        <v>7</v>
      </c>
      <c r="AF14" s="9" t="s">
        <v>16</v>
      </c>
      <c r="AG14" s="9" t="s">
        <v>16</v>
      </c>
      <c r="AH14" s="3" t="s">
        <v>7</v>
      </c>
      <c r="AI14" s="5">
        <f t="shared" si="4"/>
        <v>0</v>
      </c>
      <c r="AJ14" s="6">
        <f t="shared" si="5"/>
        <v>1</v>
      </c>
      <c r="AK14" s="7">
        <f t="shared" si="6"/>
        <v>0</v>
      </c>
      <c r="AL14" s="8">
        <f t="shared" si="7"/>
        <v>19</v>
      </c>
      <c r="AM14" s="11">
        <f t="shared" si="8"/>
        <v>10</v>
      </c>
      <c r="AN14" s="12" cm="1">
        <f t="array" ref="AN14">SUM(COUNTIF(D14:AH14,{"CM";"CS";"CAK";"CHM"}))</f>
        <v>1</v>
      </c>
      <c r="AO14" s="16" t="s">
        <v>36</v>
      </c>
      <c r="AP14" s="17">
        <f t="shared" si="1"/>
        <v>5250000</v>
      </c>
      <c r="AQ14" s="17">
        <f t="shared" si="9"/>
        <v>250000</v>
      </c>
      <c r="AR14" s="17">
        <f t="shared" si="2"/>
        <v>0</v>
      </c>
      <c r="AS14" s="17">
        <f t="shared" si="3"/>
        <v>285000</v>
      </c>
      <c r="AT14" s="17">
        <f t="shared" si="10"/>
        <v>5535000</v>
      </c>
    </row>
    <row r="15" spans="2:47" ht="16.2" x14ac:dyDescent="0.3">
      <c r="B15" s="23">
        <f t="shared" si="11"/>
        <v>10</v>
      </c>
      <c r="C15" s="24" t="s">
        <v>24</v>
      </c>
      <c r="D15" s="9" t="s">
        <v>16</v>
      </c>
      <c r="E15" s="9" t="s">
        <v>16</v>
      </c>
      <c r="F15" s="3" t="s">
        <v>7</v>
      </c>
      <c r="G15" s="13" t="s">
        <v>7</v>
      </c>
      <c r="H15" s="3" t="s">
        <v>7</v>
      </c>
      <c r="I15" s="3" t="s">
        <v>7</v>
      </c>
      <c r="J15" s="3" t="s">
        <v>7</v>
      </c>
      <c r="K15" s="9" t="s">
        <v>16</v>
      </c>
      <c r="L15" s="9" t="s">
        <v>16</v>
      </c>
      <c r="M15" s="3" t="s">
        <v>7</v>
      </c>
      <c r="N15" s="13" t="s">
        <v>7</v>
      </c>
      <c r="O15" s="3" t="s">
        <v>7</v>
      </c>
      <c r="P15" s="3" t="s">
        <v>7</v>
      </c>
      <c r="Q15" s="3" t="s">
        <v>7</v>
      </c>
      <c r="R15" s="9" t="s">
        <v>16</v>
      </c>
      <c r="S15" s="9" t="s">
        <v>16</v>
      </c>
      <c r="T15" s="3" t="s">
        <v>7</v>
      </c>
      <c r="U15" s="13" t="s">
        <v>7</v>
      </c>
      <c r="V15" s="3" t="s">
        <v>7</v>
      </c>
      <c r="W15" s="3" t="s">
        <v>7</v>
      </c>
      <c r="X15" s="3" t="s">
        <v>7</v>
      </c>
      <c r="Y15" s="9" t="s">
        <v>16</v>
      </c>
      <c r="Z15" s="9" t="s">
        <v>16</v>
      </c>
      <c r="AA15" s="3" t="s">
        <v>7</v>
      </c>
      <c r="AB15" s="13" t="s">
        <v>7</v>
      </c>
      <c r="AC15" s="3" t="s">
        <v>7</v>
      </c>
      <c r="AD15" s="3" t="s">
        <v>7</v>
      </c>
      <c r="AE15" s="9" t="s">
        <v>28</v>
      </c>
      <c r="AF15" s="9" t="s">
        <v>16</v>
      </c>
      <c r="AG15" s="9" t="s">
        <v>16</v>
      </c>
      <c r="AH15" s="3" t="s">
        <v>7</v>
      </c>
      <c r="AI15" s="5">
        <f t="shared" si="4"/>
        <v>0</v>
      </c>
      <c r="AJ15" s="6">
        <f t="shared" si="5"/>
        <v>0</v>
      </c>
      <c r="AK15" s="7">
        <f t="shared" si="6"/>
        <v>0</v>
      </c>
      <c r="AL15" s="8">
        <f t="shared" si="7"/>
        <v>20</v>
      </c>
      <c r="AM15" s="11">
        <f t="shared" si="8"/>
        <v>10</v>
      </c>
      <c r="AN15" s="12" cm="1">
        <f t="array" ref="AN15">SUM(COUNTIF(D15:AH15,{"CM";"CS";"CAK";"CHM"}))</f>
        <v>1</v>
      </c>
      <c r="AO15" s="16" t="s">
        <v>37</v>
      </c>
      <c r="AP15" s="17">
        <f t="shared" si="1"/>
        <v>5250000</v>
      </c>
      <c r="AQ15" s="17">
        <f t="shared" si="9"/>
        <v>250000</v>
      </c>
      <c r="AR15" s="17">
        <f t="shared" si="2"/>
        <v>0</v>
      </c>
      <c r="AS15" s="17">
        <f t="shared" si="3"/>
        <v>300000</v>
      </c>
      <c r="AT15" s="17">
        <f t="shared" si="10"/>
        <v>5550000</v>
      </c>
    </row>
    <row r="16" spans="2:47" ht="18" customHeight="1" x14ac:dyDescent="0.3">
      <c r="B16" s="28" t="s">
        <v>6</v>
      </c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5">
        <f>SUM(AI6:AI15)</f>
        <v>8</v>
      </c>
      <c r="AJ16" s="6">
        <f t="shared" ref="AJ16:AL16" si="12">SUM(AJ6:AJ15)</f>
        <v>12</v>
      </c>
      <c r="AK16" s="7">
        <f t="shared" si="12"/>
        <v>10</v>
      </c>
      <c r="AL16" s="8">
        <f t="shared" si="12"/>
        <v>172</v>
      </c>
      <c r="AM16" s="11">
        <f>SUM(AM6:AM15)</f>
        <v>100</v>
      </c>
      <c r="AN16" s="18">
        <f>SUM(AN6:AN15)</f>
        <v>8</v>
      </c>
      <c r="AO16" s="19" t="str" cm="1">
        <f t="array" ref="AO16">_xlfn.CONCAT(SUM(COUNTIF(AO6:AO15,{"Manager Operasional";"Human Resource";"IT Developer";"Produksi";"Cyber Security";"Admin";"Quality Control"}))," Jabatan")</f>
        <v>9 Jabatan</v>
      </c>
      <c r="AP16" s="20">
        <f>SUM(AP6:AP15)</f>
        <v>57330000</v>
      </c>
      <c r="AQ16" s="20">
        <f>SUM(AQ6:AQ15)</f>
        <v>2730000</v>
      </c>
      <c r="AR16" s="20">
        <f>SUM(AR6:AR15)</f>
        <v>2350000</v>
      </c>
      <c r="AS16" s="20">
        <f>SUM(AS6:AS15)</f>
        <v>2580000</v>
      </c>
      <c r="AT16" s="20">
        <f>SUM(AT6:AT15)</f>
        <v>57560000</v>
      </c>
    </row>
    <row r="17" spans="38:46" x14ac:dyDescent="0.3">
      <c r="AN17" s="37" t="s">
        <v>45</v>
      </c>
      <c r="AO17" s="37"/>
      <c r="AP17" s="26">
        <f>AVERAGE(AP6:AP15)</f>
        <v>5733000</v>
      </c>
      <c r="AQ17" s="26">
        <f>AVERAGE(AQ6:AQ15)</f>
        <v>273000</v>
      </c>
      <c r="AR17" s="26">
        <f>AVERAGE(AR6:AR15)</f>
        <v>235000</v>
      </c>
      <c r="AS17" s="26">
        <f>AVERAGE(AS6:AS15)</f>
        <v>258000</v>
      </c>
      <c r="AT17" s="26">
        <f>AVERAGE(AT6:AT15)</f>
        <v>5756000</v>
      </c>
    </row>
    <row r="18" spans="38:46" x14ac:dyDescent="0.3">
      <c r="AL18" s="15"/>
    </row>
    <row r="19" spans="38:46" x14ac:dyDescent="0.3">
      <c r="AL19" s="21"/>
      <c r="AM19" s="10"/>
    </row>
    <row r="20" spans="38:46" x14ac:dyDescent="0.3">
      <c r="AL20" s="15"/>
    </row>
  </sheetData>
  <autoFilter ref="B4:C15" xr:uid="{00000000-0001-0000-0000-000000000000}"/>
  <mergeCells count="20">
    <mergeCell ref="AN17:AO17"/>
    <mergeCell ref="B16:AH16"/>
    <mergeCell ref="D3:AH3"/>
    <mergeCell ref="AI4:AI5"/>
    <mergeCell ref="AJ4:AJ5"/>
    <mergeCell ref="AK4:AK5"/>
    <mergeCell ref="AT4:AT5"/>
    <mergeCell ref="AI3:AT3"/>
    <mergeCell ref="B2:AT2"/>
    <mergeCell ref="AO4:AO5"/>
    <mergeCell ref="AQ4:AQ5"/>
    <mergeCell ref="AS4:AS5"/>
    <mergeCell ref="AP4:AP5"/>
    <mergeCell ref="AR4:AR5"/>
    <mergeCell ref="AM4:AM5"/>
    <mergeCell ref="AN4:AN5"/>
    <mergeCell ref="C4:C5"/>
    <mergeCell ref="B4:B5"/>
    <mergeCell ref="B3:C3"/>
    <mergeCell ref="AL4:AL5"/>
  </mergeCells>
  <conditionalFormatting sqref="D6:AH15">
    <cfRule type="cellIs" dxfId="8" priority="1" operator="equal">
      <formula>"CHM"</formula>
    </cfRule>
    <cfRule type="cellIs" dxfId="7" priority="2" operator="equal">
      <formula>"CAK"</formula>
    </cfRule>
    <cfRule type="cellIs" dxfId="6" priority="3" operator="equal">
      <formula>"CS"</formula>
    </cfRule>
    <cfRule type="cellIs" dxfId="5" priority="4" operator="equal">
      <formula>"CM"</formula>
    </cfRule>
    <cfRule type="cellIs" dxfId="4" priority="5" operator="equal">
      <formula>"L"</formula>
    </cfRule>
    <cfRule type="beginsWith" dxfId="3" priority="6" operator="beginsWith" text=".">
      <formula>LEFT(D6,LEN("."))="."</formula>
    </cfRule>
    <cfRule type="beginsWith" dxfId="2" priority="7" operator="beginsWith" text="I">
      <formula>LEFT(D6,LEN("I"))="I"</formula>
    </cfRule>
    <cfRule type="beginsWith" dxfId="1" priority="8" operator="beginsWith" text="S">
      <formula>LEFT(D6,LEN("S"))="S"</formula>
    </cfRule>
    <cfRule type="beginsWith" dxfId="0" priority="9" operator="beginsWith" text="A">
      <formula>LEFT(D6,LEN("A"))="A"</formula>
    </cfRule>
  </conditionalFormatting>
  <pageMargins left="0.25" right="0.25" top="0.75" bottom="0.75" header="0.3" footer="0.3"/>
  <pageSetup paperSize="5" scale="42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Rizky Faisal Rafi</dc:creator>
  <cp:lastModifiedBy>Rizky Faisal Rafi</cp:lastModifiedBy>
  <cp:lastPrinted>2026-08-07T16:32:57Z</cp:lastPrinted>
  <dcterms:created xsi:type="dcterms:W3CDTF">2018-02-13T11:29:04Z</dcterms:created>
  <dcterms:modified xsi:type="dcterms:W3CDTF">2026-08-07T16:33:02Z</dcterms:modified>
</cp:coreProperties>
</file>