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EF2CA6CF-45B1-4C98-A232-B3916AE53556}" xr6:coauthVersionLast="47" xr6:coauthVersionMax="47" xr10:uidLastSave="{00000000-0000-0000-0000-000000000000}"/>
  <bookViews>
    <workbookView xWindow="-108" yWindow="-108" windowWidth="23256" windowHeight="13176" xr2:uid="{96DA334A-E47C-4BC1-9CDC-8475665EED0F}"/>
  </bookViews>
  <sheets>
    <sheet name="Database Karyawan" sheetId="1" r:id="rId1"/>
    <sheet name="Slip Gaji Karyawan" sheetId="2" r:id="rId2"/>
  </sheets>
  <definedNames>
    <definedName name="LIST_DAFTAR_KARYAWAN">'Database Karyawan'!$B$3:$I$18</definedName>
    <definedName name="List_Nama">'Database Karyawan'!$D$4:$D$18</definedName>
    <definedName name="_xlnm.Print_Area" localSheetId="0">'Database Karyawan'!$A$1:$J$19</definedName>
    <definedName name="_xlnm.Print_Area" localSheetId="1">'Slip Gaji Karyawan'!$A$1:$M$19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2" l="1"/>
  <c r="F12" i="2"/>
  <c r="F11" i="2"/>
  <c r="F10" i="2"/>
  <c r="F9" i="2"/>
  <c r="E6" i="2"/>
  <c r="E5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  <c r="F17" i="2" l="1"/>
</calcChain>
</file>

<file path=xl/sharedStrings.xml><?xml version="1.0" encoding="utf-8"?>
<sst xmlns="http://schemas.openxmlformats.org/spreadsheetml/2006/main" count="36" uniqueCount="34">
  <si>
    <t>DAFTAR GAJI KARYAWAN PT. BESMART INDONESIA GEMILANG</t>
  </si>
  <si>
    <t>No.</t>
  </si>
  <si>
    <t>NIP</t>
  </si>
  <si>
    <t>NAMA</t>
  </si>
  <si>
    <t>GAJI POKOK</t>
  </si>
  <si>
    <t>TUNJANGAN JABATAN</t>
  </si>
  <si>
    <t>TUNJANGAN TRANSPORTASI</t>
  </si>
  <si>
    <t>PAJAK PENGHASILAN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</si>
  <si>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</si>
  <si>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</si>
  <si>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</si>
  <si>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</si>
  <si>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</si>
  <si>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</si>
  <si>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</si>
  <si>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</si>
  <si>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</si>
  <si>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</si>
  <si>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</si>
  <si>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</si>
  <si>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</si>
  <si>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</si>
  <si>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</si>
  <si>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SLIP GAJI BULAN AGUSTUS 2026</t>
  </si>
  <si>
    <t>Nama</t>
  </si>
  <si>
    <t>PENGHASILAN</t>
  </si>
  <si>
    <t>Gaji Pokok</t>
  </si>
  <si>
    <t>Tunjangan Jabatan</t>
  </si>
  <si>
    <t>Tunjangan Transportasi</t>
  </si>
  <si>
    <t>Tunjangan Makan</t>
  </si>
  <si>
    <t>POTONGAN</t>
  </si>
  <si>
    <t>Pajak Penghasilan (PPH)</t>
  </si>
  <si>
    <t>GAJI YANG DITERIMA</t>
  </si>
  <si>
    <t>No. Urut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</si>
</sst>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[$Rp-421]* #,##0_-;\-[$Rp-421]* #,##0_-;_-[$Rp-421]* &quot;-&quot;_-;_-@_-"/>
    <numFmt numFmtId="172" formatCode="_-&quot;Rp&quot;* #,##0_-;\-&quot;Rp&quot;* #,##0_-;_-&quot;Rp&quot;* &quot;-&quot;??_-;_-@_-"/>
  </numFmts>
  <fonts count="9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ahoma"/>
      <family val="2"/>
    </font>
    <font>
      <sz val="12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/>
    <xf numFmtId="167" fontId="2" fillId="3" borderId="9" xfId="1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2" fontId="6" fillId="0" borderId="0" xfId="0" applyNumberFormat="1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6" fmlaLink="$I$3" max="15" page="10"/>
</file>

<file path=xl/ctrlProps/ctrlProp2.xml><?xml version="1.0" encoding="utf-8"?>
<formControlPr xmlns="http://schemas.microsoft.com/office/spreadsheetml/2009/9/main" objectType="List" dx="26" fmlaLink="$I$3" fmlaRange="'Database Karyawan'!$D$4:$D$18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277650</xdr:colOff>
          <xdr:row>1</xdr:row>
          <xdr:rowOff>28236</xdr:rowOff>
        </xdr:from>
        <xdr:to>
          <xdr:col>7</xdr:col>
          <xdr:colOff>707956</xdr:colOff>
          <xdr:row>3</xdr:row>
          <xdr:rowOff>134468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64994</xdr:colOff>
          <xdr:row>1</xdr:row>
          <xdr:rowOff>5828</xdr:rowOff>
        </xdr:from>
        <xdr:to>
          <xdr:col>12</xdr:col>
          <xdr:colOff>362174</xdr:colOff>
          <xdr:row>9</xdr:row>
          <xdr:rowOff>114366</xdr:rowOff>
        </xdr:to>
        <xdr:sp macro="" textlink="">
          <xdr:nvSpPr>
            <xdr:cNvPr id="2054" name="List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8567-0FE7-4A0F-A5C0-07B8363C5278}">
  <sheetPr>
    <pageSetUpPr fitToPage="1"/>
  </sheetPr>
  <dimension ref="B1:I18"/>
  <sheetViews>
    <sheetView tabSelected="1" view="pageBreakPreview" zoomScale="60" zoomScaleNormal="85" workbookViewId="0">
      <selection activeCell="I14" sqref="I14"/>
    </sheetView>
  </sheetViews>
  <sheetFormatPr defaultRowHeight="14.4" x14ac:dyDescent="0.3"/>
  <cols>
    <col min="1" max="1" width="3.77734375" customWidth="1"/>
    <col min="2" max="2" width="6" customWidth="1"/>
    <col min="3" max="3" width="8" customWidth="1"/>
    <col min="4" max="4" width="24.109375" customWidth="1"/>
    <col min="5" max="5" width="24.21875" customWidth="1"/>
    <col min="6" max="6" width="27.5546875" customWidth="1"/>
    <col min="7" max="7" width="33.6640625" customWidth="1"/>
    <col min="8" max="8" width="24.5546875" customWidth="1"/>
    <col min="9" max="9" width="27.109375" customWidth="1"/>
    <col min="10" max="10" width="3.77734375" customWidth="1"/>
  </cols>
  <sheetData>
    <row r="1" spans="2:9" ht="15" thickBot="1" x14ac:dyDescent="0.35"/>
    <row r="2" spans="2:9" ht="31.2" customHeight="1" thickBot="1" x14ac:dyDescent="0.35">
      <c r="B2" s="15" t="s">
        <v>0</v>
      </c>
      <c r="C2" s="15"/>
      <c r="D2" s="15"/>
      <c r="E2" s="15"/>
      <c r="F2" s="15"/>
      <c r="G2" s="15"/>
      <c r="H2" s="15"/>
      <c r="I2" s="15"/>
    </row>
    <row r="3" spans="2:9" ht="33" customHeight="1" thickBot="1" x14ac:dyDescent="0.35"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29</v>
      </c>
      <c r="I3" s="19" t="s">
        <v>7</v>
      </c>
    </row>
    <row r="4" spans="2:9" ht="15" thickBot="1" x14ac:dyDescent="0.35">
      <c r="B4" s="19">
        <v>1</v>
      </c>
      <c r="C4" s="16" t="s">
        <v>8</v>
      </c>
      <c r="D4" s="17" t="str">
        <f>IF(B4=1,"RIZKY FAISAL RAFI",IF(B4=2,"FIRMAN RAMADHAN",IF(B4=3,"JAYADI MUNTAHAR",IF(B4=4,"VERRY SULISTYAWAN",IF(B4=5,"MUHAMMAD ALSYAFEI",IF(B4=6,"DANANG ILMAWAN",IF(B4=7,"ANDI COBRA",IF(B4=8,"CELLOZ",IF(B4=9,"NELSON NAINGGOLAN",IF(B4=10,"NISA INTAIDINI",IF(B4=11,"AYU TINGTING",IF(B4=12,"SYAHRINI CETAR",IF(B4=13,"MIA NURHALIZA",IF(B4=14,"NANIK DANISA",IF(B4=15,"NUNUNG UCUL","IDontKnow")))))))))))))))</f>
        <v>RIZKY FAISAL RAFI</v>
      </c>
      <c r="E4" s="18">
        <v>9000000</v>
      </c>
      <c r="F4" s="18">
        <v>1000000</v>
      </c>
      <c r="G4" s="18">
        <v>1500000</v>
      </c>
      <c r="H4" s="18">
        <v>500000</v>
      </c>
      <c r="I4" s="18">
        <v>500000</v>
      </c>
    </row>
    <row r="5" spans="2:9" ht="15" thickBot="1" x14ac:dyDescent="0.35">
      <c r="B5" s="19">
        <v>2</v>
      </c>
      <c r="C5" s="16" t="s">
        <v>9</v>
      </c>
      <c r="D5" s="17" t="str">
        <f t="shared" ref="D5:D18" si="0">IF(B5=1,"RIZKY FAISAL RAFI",IF(B5=2,"FIRMAN RAMADHAN",IF(B5=3,"JAYADI MUNTAHAR",IF(B5=4,"VERRY SULISTYAWAN",IF(B5=5,"MUHAMMAD ALSYAFEI",IF(B5=6,"DANANG ILMAWAN",IF(B5=7,"ANDI COBRA",IF(B5=8,"CELLOZ",IF(B5=9,"NELSON NAINGGOLAN",IF(B5=10,"NISA INTAIDINI",IF(B5=11,"AYU TINGTING",IF(B5=12,"SYAHRINI CETAR",IF(B5=13,"MIA NURHALIZA",IF(B5=14,"NANIK DANISA",IF(B5=15,"NUNUNG UCUL","IDontKnow")))))))))))))))</f>
        <v>FIRMAN RAMADHAN</v>
      </c>
      <c r="E5" s="18">
        <v>9000000</v>
      </c>
      <c r="F5" s="18">
        <v>1250000</v>
      </c>
      <c r="G5" s="18">
        <v>1200000</v>
      </c>
      <c r="H5" s="18">
        <v>500000</v>
      </c>
      <c r="I5" s="18">
        <v>562500</v>
      </c>
    </row>
    <row r="6" spans="2:9" ht="15" thickBot="1" x14ac:dyDescent="0.35">
      <c r="B6" s="19">
        <v>3</v>
      </c>
      <c r="C6" s="16" t="s">
        <v>10</v>
      </c>
      <c r="D6" s="17" t="str">
        <f t="shared" si="0"/>
        <v>JAYADI MUNTAHAR</v>
      </c>
      <c r="E6" s="18">
        <v>8600000</v>
      </c>
      <c r="F6" s="18">
        <v>500000</v>
      </c>
      <c r="G6" s="18">
        <v>800000</v>
      </c>
      <c r="H6" s="18">
        <v>500000</v>
      </c>
      <c r="I6" s="18">
        <v>300000</v>
      </c>
    </row>
    <row r="7" spans="2:9" ht="15" thickBot="1" x14ac:dyDescent="0.35">
      <c r="B7" s="19">
        <v>4</v>
      </c>
      <c r="C7" s="16" t="s">
        <v>11</v>
      </c>
      <c r="D7" s="17" t="str">
        <f t="shared" si="0"/>
        <v>VERRY SULISTYAWAN</v>
      </c>
      <c r="E7" s="18">
        <v>8000000</v>
      </c>
      <c r="F7" s="18">
        <v>500000</v>
      </c>
      <c r="G7" s="18">
        <v>700000</v>
      </c>
      <c r="H7" s="18">
        <v>500000</v>
      </c>
      <c r="I7" s="18">
        <v>400000</v>
      </c>
    </row>
    <row r="8" spans="2:9" ht="15" thickBot="1" x14ac:dyDescent="0.35">
      <c r="B8" s="19">
        <v>5</v>
      </c>
      <c r="C8" s="16" t="s">
        <v>12</v>
      </c>
      <c r="D8" s="17" t="str">
        <f t="shared" si="0"/>
        <v>MUHAMMAD ALSYAFEI</v>
      </c>
      <c r="E8" s="18">
        <v>6500000</v>
      </c>
      <c r="F8" s="18">
        <v>1250000</v>
      </c>
      <c r="G8" s="18">
        <v>1200000</v>
      </c>
      <c r="H8" s="18">
        <v>500000</v>
      </c>
      <c r="I8" s="18">
        <v>447500</v>
      </c>
    </row>
    <row r="9" spans="2:9" ht="15" thickBot="1" x14ac:dyDescent="0.35">
      <c r="B9" s="19">
        <v>6</v>
      </c>
      <c r="C9" s="16" t="s">
        <v>13</v>
      </c>
      <c r="D9" s="17" t="str">
        <f t="shared" si="0"/>
        <v>DANANG ILMAWAN</v>
      </c>
      <c r="E9" s="18">
        <v>5580000</v>
      </c>
      <c r="F9" s="18">
        <v>500000</v>
      </c>
      <c r="G9" s="18">
        <v>700000</v>
      </c>
      <c r="H9" s="18">
        <v>500000</v>
      </c>
      <c r="I9" s="18">
        <v>400000</v>
      </c>
    </row>
    <row r="10" spans="2:9" ht="15" thickBot="1" x14ac:dyDescent="0.35">
      <c r="B10" s="19">
        <v>7</v>
      </c>
      <c r="C10" s="16" t="s">
        <v>14</v>
      </c>
      <c r="D10" s="17" t="str">
        <f t="shared" si="0"/>
        <v>ANDI COBRA</v>
      </c>
      <c r="E10" s="18">
        <v>7000000</v>
      </c>
      <c r="F10" s="18">
        <v>1250000</v>
      </c>
      <c r="G10" s="18">
        <v>1200000</v>
      </c>
      <c r="H10" s="18">
        <v>500000</v>
      </c>
      <c r="I10" s="18">
        <v>537500</v>
      </c>
    </row>
    <row r="11" spans="2:9" ht="15" thickBot="1" x14ac:dyDescent="0.35">
      <c r="B11" s="19">
        <v>8</v>
      </c>
      <c r="C11" s="16" t="s">
        <v>15</v>
      </c>
      <c r="D11" s="17" t="str">
        <f t="shared" si="0"/>
        <v>CELLOZ</v>
      </c>
      <c r="E11" s="18">
        <v>9000000</v>
      </c>
      <c r="F11" s="18">
        <v>500000</v>
      </c>
      <c r="G11" s="18">
        <v>700000</v>
      </c>
      <c r="H11" s="18">
        <v>500000</v>
      </c>
      <c r="I11" s="18">
        <v>300000</v>
      </c>
    </row>
    <row r="12" spans="2:9" ht="15" thickBot="1" x14ac:dyDescent="0.35">
      <c r="B12" s="19">
        <v>9</v>
      </c>
      <c r="C12" s="16" t="s">
        <v>16</v>
      </c>
      <c r="D12" s="17" t="str">
        <f t="shared" si="0"/>
        <v>NELSON NAINGGOLAN</v>
      </c>
      <c r="E12" s="18">
        <v>7900000</v>
      </c>
      <c r="F12" s="18">
        <v>1250000</v>
      </c>
      <c r="G12" s="18">
        <v>1200000</v>
      </c>
      <c r="H12" s="18">
        <v>500000</v>
      </c>
      <c r="I12" s="18">
        <v>517500</v>
      </c>
    </row>
    <row r="13" spans="2:9" ht="15" thickBot="1" x14ac:dyDescent="0.35">
      <c r="B13" s="19">
        <v>10</v>
      </c>
      <c r="C13" s="16" t="s">
        <v>17</v>
      </c>
      <c r="D13" s="17" t="str">
        <f t="shared" si="0"/>
        <v>NISA INTAIDINI</v>
      </c>
      <c r="E13" s="18">
        <v>8000000</v>
      </c>
      <c r="F13" s="18">
        <v>1250000</v>
      </c>
      <c r="G13" s="18">
        <v>1200000</v>
      </c>
      <c r="H13" s="18">
        <v>500000</v>
      </c>
      <c r="I13" s="18">
        <v>522500</v>
      </c>
    </row>
    <row r="14" spans="2:9" ht="15" thickBot="1" x14ac:dyDescent="0.35">
      <c r="B14" s="19">
        <v>11</v>
      </c>
      <c r="C14" s="16" t="s">
        <v>18</v>
      </c>
      <c r="D14" s="17" t="str">
        <f t="shared" si="0"/>
        <v>AYU TINGTING</v>
      </c>
      <c r="E14" s="18">
        <v>8100000</v>
      </c>
      <c r="F14" s="18">
        <v>1250000</v>
      </c>
      <c r="G14" s="18">
        <v>1200000</v>
      </c>
      <c r="H14" s="18">
        <v>500000</v>
      </c>
      <c r="I14" s="18">
        <v>527500</v>
      </c>
    </row>
    <row r="15" spans="2:9" ht="15" thickBot="1" x14ac:dyDescent="0.35">
      <c r="B15" s="19">
        <v>12</v>
      </c>
      <c r="C15" s="16" t="s">
        <v>19</v>
      </c>
      <c r="D15" s="17" t="str">
        <f t="shared" si="0"/>
        <v>SYAHRINI CETAR</v>
      </c>
      <c r="E15" s="18">
        <v>6600000</v>
      </c>
      <c r="F15" s="18">
        <v>1250000</v>
      </c>
      <c r="G15" s="18">
        <v>1200000</v>
      </c>
      <c r="H15" s="18">
        <v>500000</v>
      </c>
      <c r="I15" s="18">
        <v>437500</v>
      </c>
    </row>
    <row r="16" spans="2:9" ht="15" thickBot="1" x14ac:dyDescent="0.35">
      <c r="B16" s="19">
        <v>13</v>
      </c>
      <c r="C16" s="16" t="s">
        <v>20</v>
      </c>
      <c r="D16" s="17" t="str">
        <f t="shared" si="0"/>
        <v>MIA NURHALIZA</v>
      </c>
      <c r="E16" s="18">
        <v>6000000</v>
      </c>
      <c r="F16" s="18">
        <v>500000</v>
      </c>
      <c r="G16" s="18">
        <v>700000</v>
      </c>
      <c r="H16" s="18">
        <v>500000</v>
      </c>
      <c r="I16" s="18">
        <v>280000</v>
      </c>
    </row>
    <row r="17" spans="2:9" ht="15" thickBot="1" x14ac:dyDescent="0.35">
      <c r="B17" s="19">
        <v>14</v>
      </c>
      <c r="C17" s="16" t="s">
        <v>21</v>
      </c>
      <c r="D17" s="17" t="str">
        <f t="shared" si="0"/>
        <v>NANIK DANISA</v>
      </c>
      <c r="E17" s="18">
        <v>6500000</v>
      </c>
      <c r="F17" s="18">
        <v>1250000</v>
      </c>
      <c r="G17" s="18">
        <v>1200000</v>
      </c>
      <c r="H17" s="18">
        <v>500000</v>
      </c>
      <c r="I17" s="18">
        <v>447500</v>
      </c>
    </row>
    <row r="18" spans="2:9" ht="15" thickBot="1" x14ac:dyDescent="0.35">
      <c r="B18" s="19">
        <v>15</v>
      </c>
      <c r="C18" s="16" t="s">
        <v>22</v>
      </c>
      <c r="D18" s="17" t="str">
        <f t="shared" si="0"/>
        <v>NUNUNG UCUL</v>
      </c>
      <c r="E18" s="18">
        <v>8900000</v>
      </c>
      <c r="F18" s="18">
        <v>1250000</v>
      </c>
      <c r="G18" s="18">
        <v>1200000</v>
      </c>
      <c r="H18" s="18">
        <v>500000</v>
      </c>
      <c r="I18" s="18">
        <v>567500</v>
      </c>
    </row>
  </sheetData>
  <mergeCells count="1">
    <mergeCell ref="B2:I2"/>
  </mergeCells>
  <phoneticPr fontId="5" type="noConversion"/>
  <pageMargins left="0.7" right="0.7" top="0.75" bottom="0.75" header="0.3" footer="0.3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0E65-7857-400C-B112-01220F5A0286}">
  <sheetPr>
    <pageSetUpPr fitToPage="1"/>
  </sheetPr>
  <dimension ref="B1:I18"/>
  <sheetViews>
    <sheetView tabSelected="1" view="pageBreakPreview" zoomScale="60" zoomScaleNormal="100" workbookViewId="0">
      <selection activeCell="I14" sqref="I14"/>
    </sheetView>
  </sheetViews>
  <sheetFormatPr defaultRowHeight="14.4" x14ac:dyDescent="0.3"/>
  <cols>
    <col min="1" max="2" width="3.77734375" customWidth="1"/>
    <col min="3" max="3" width="19.33203125" customWidth="1"/>
    <col min="4" max="4" width="10.21875" customWidth="1"/>
    <col min="5" max="5" width="12.21875" customWidth="1"/>
    <col min="6" max="6" width="19.44140625" customWidth="1"/>
    <col min="7" max="7" width="3.77734375" customWidth="1"/>
    <col min="8" max="8" width="13" customWidth="1"/>
    <col min="9" max="9" width="11.33203125" customWidth="1"/>
    <col min="13" max="13" width="8.44140625" customWidth="1"/>
  </cols>
  <sheetData>
    <row r="1" spans="2:9" ht="15" thickBot="1" x14ac:dyDescent="0.35"/>
    <row r="2" spans="2:9" s="8" customFormat="1" ht="19.8" customHeight="1" thickBot="1" x14ac:dyDescent="0.35">
      <c r="B2" s="11"/>
      <c r="C2" s="12"/>
      <c r="D2" s="12"/>
      <c r="E2" s="12"/>
      <c r="F2" s="12"/>
      <c r="G2" s="13"/>
      <c r="I2" s="14" t="s">
        <v>33</v>
      </c>
    </row>
    <row r="3" spans="2:9" ht="29.4" customHeight="1" thickBot="1" x14ac:dyDescent="0.35">
      <c r="B3" s="1"/>
      <c r="C3" s="22" t="s">
        <v>23</v>
      </c>
      <c r="D3" s="22"/>
      <c r="E3" s="22"/>
      <c r="F3" s="22"/>
      <c r="G3" s="4"/>
      <c r="I3" s="10">
        <v>1</v>
      </c>
    </row>
    <row r="4" spans="2:9" x14ac:dyDescent="0.3">
      <c r="B4" s="1"/>
      <c r="G4" s="4"/>
    </row>
    <row r="5" spans="2:9" x14ac:dyDescent="0.3">
      <c r="B5" s="1"/>
      <c r="C5" s="7" t="s">
        <v>24</v>
      </c>
      <c r="D5" s="7"/>
      <c r="E5" s="7" t="str">
        <f>IFERROR(VLOOKUP(I3,LIST_DAFTAR_KARYAWAN,3,FALSE),"NAMA TIDAK TERDAFTAR")</f>
        <v>RIZKY FAISAL RAFI</v>
      </c>
      <c r="F5" s="7"/>
      <c r="G5" s="4"/>
    </row>
    <row r="6" spans="2:9" x14ac:dyDescent="0.3">
      <c r="B6" s="1"/>
      <c r="C6" s="7" t="s">
        <v>2</v>
      </c>
      <c r="D6" s="7"/>
      <c r="E6" s="7" t="str">
        <f>IFERROR(VLOOKUP(I3,LIST_DAFTAR_KARYAWAN,2,FALSE),"NAMA TIDAK TERDAFTAR")</f>
        <v>001</v>
      </c>
      <c r="F6" s="7"/>
      <c r="G6" s="4"/>
    </row>
    <row r="7" spans="2:9" x14ac:dyDescent="0.3">
      <c r="B7" s="1"/>
      <c r="G7" s="4"/>
    </row>
    <row r="8" spans="2:9" x14ac:dyDescent="0.3">
      <c r="B8" s="1"/>
      <c r="C8" s="7" t="s">
        <v>25</v>
      </c>
      <c r="D8" s="7"/>
      <c r="G8" s="4"/>
    </row>
    <row r="9" spans="2:9" x14ac:dyDescent="0.3">
      <c r="B9" s="1"/>
      <c r="C9" s="6" t="s">
        <v>26</v>
      </c>
      <c r="D9" s="6"/>
      <c r="E9" s="6"/>
      <c r="F9" s="21">
        <f>IFERROR(VLOOKUP(I3,LIST_DAFTAR_KARYAWAN,4,FALSE),"TIDAK TERDAFTAR")</f>
        <v>9000000</v>
      </c>
      <c r="G9" s="4"/>
    </row>
    <row r="10" spans="2:9" x14ac:dyDescent="0.3">
      <c r="B10" s="1"/>
      <c r="C10" s="6" t="s">
        <v>27</v>
      </c>
      <c r="D10" s="6"/>
      <c r="E10" s="6"/>
      <c r="F10" s="21">
        <f>IFERROR(VLOOKUP(I3,LIST_DAFTAR_KARYAWAN,5,FALSE),"TIDAK TERDAFTAR")</f>
        <v>1000000</v>
      </c>
      <c r="G10" s="4"/>
    </row>
    <row r="11" spans="2:9" x14ac:dyDescent="0.3">
      <c r="B11" s="1"/>
      <c r="C11" s="6" t="s">
        <v>28</v>
      </c>
      <c r="D11" s="6"/>
      <c r="E11" s="6"/>
      <c r="F11" s="21">
        <f>IFERROR(VLOOKUP(I3,LIST_DAFTAR_KARYAWAN,6,FALSE),"TIDAK TERDAFTAR")</f>
        <v>1500000</v>
      </c>
      <c r="G11" s="4"/>
    </row>
    <row r="12" spans="2:9" x14ac:dyDescent="0.3">
      <c r="B12" s="1"/>
      <c r="C12" s="6" t="s">
        <v>29</v>
      </c>
      <c r="D12" s="6"/>
      <c r="E12" s="6"/>
      <c r="F12" s="21">
        <f>IFERROR(VLOOKUP(I3,LIST_DAFTAR_KARYAWAN,7,FALSE),"TIDAK TERDAFTAR")</f>
        <v>500000</v>
      </c>
      <c r="G12" s="4"/>
    </row>
    <row r="13" spans="2:9" x14ac:dyDescent="0.3">
      <c r="B13" s="1"/>
      <c r="F13" s="20"/>
      <c r="G13" s="4"/>
    </row>
    <row r="14" spans="2:9" x14ac:dyDescent="0.3">
      <c r="B14" s="1"/>
      <c r="C14" s="7" t="s">
        <v>30</v>
      </c>
      <c r="D14" s="7"/>
      <c r="E14" s="9"/>
      <c r="F14" s="20"/>
      <c r="G14" s="4"/>
    </row>
    <row r="15" spans="2:9" x14ac:dyDescent="0.3">
      <c r="B15" s="1"/>
      <c r="C15" s="6" t="s">
        <v>31</v>
      </c>
      <c r="D15" s="6"/>
      <c r="E15" s="6"/>
      <c r="F15" s="21">
        <f>IFERROR(VLOOKUP(I3,LIST_DAFTAR_KARYAWAN,8,FALSE),"TIDAK TERDAFTAR")</f>
        <v>500000</v>
      </c>
      <c r="G15" s="4"/>
    </row>
    <row r="16" spans="2:9" x14ac:dyDescent="0.3">
      <c r="B16" s="1"/>
      <c r="F16" s="20"/>
      <c r="G16" s="4"/>
    </row>
    <row r="17" spans="2:7" x14ac:dyDescent="0.3">
      <c r="B17" s="1"/>
      <c r="C17" s="7" t="s">
        <v>32</v>
      </c>
      <c r="D17" s="7"/>
      <c r="E17" s="7"/>
      <c r="F17" s="21">
        <f>IFERROR(SUM(F9:F15),"TIDAK TERDAFTAR")</f>
        <v>12500000</v>
      </c>
      <c r="G17" s="4"/>
    </row>
    <row r="18" spans="2:7" ht="15" thickBot="1" x14ac:dyDescent="0.35">
      <c r="B18" s="2"/>
      <c r="C18" s="3"/>
      <c r="D18" s="3"/>
      <c r="E18" s="3"/>
      <c r="F18" s="3"/>
      <c r="G18" s="5"/>
    </row>
  </sheetData>
  <mergeCells count="13">
    <mergeCell ref="C17:E17"/>
    <mergeCell ref="C9:E9"/>
    <mergeCell ref="C10:E10"/>
    <mergeCell ref="C11:E11"/>
    <mergeCell ref="C12:E12"/>
    <mergeCell ref="C14:D14"/>
    <mergeCell ref="C15:E15"/>
    <mergeCell ref="C3:F3"/>
    <mergeCell ref="C5:D5"/>
    <mergeCell ref="C6:D6"/>
    <mergeCell ref="E5:F5"/>
    <mergeCell ref="E6:F6"/>
    <mergeCell ref="C8:D8"/>
  </mergeCells>
  <pageMargins left="0.7" right="0.7" top="0.75" bottom="0.75" header="0.3" footer="0.3"/>
  <pageSetup paperSize="9" scale="9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Spinner 4">
              <controlPr defaultSize="0" autoPict="0">
                <anchor moveWithCells="1" sizeWithCells="1">
                  <from>
                    <xdr:col>7</xdr:col>
                    <xdr:colOff>274320</xdr:colOff>
                    <xdr:row>1</xdr:row>
                    <xdr:rowOff>30480</xdr:rowOff>
                  </from>
                  <to>
                    <xdr:col>7</xdr:col>
                    <xdr:colOff>708660</xdr:colOff>
                    <xdr:row>3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5" name="List Box 6">
              <controlPr defaultSize="0" autoLine="0" autoPict="0">
                <anchor moveWithCells="1">
                  <from>
                    <xdr:col>9</xdr:col>
                    <xdr:colOff>68580</xdr:colOff>
                    <xdr:row>1</xdr:row>
                    <xdr:rowOff>7620</xdr:rowOff>
                  </from>
                  <to>
                    <xdr:col>12</xdr:col>
                    <xdr:colOff>365760</xdr:colOff>
                    <xdr:row>9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Database Karyawan</vt:lpstr>
      <vt:lpstr>Slip Gaji Karyawan</vt:lpstr>
      <vt:lpstr>LIST_DAFTAR_KARYAWAN</vt:lpstr>
      <vt:lpstr>List_Nama</vt:lpstr>
      <vt:lpstr>'Database Karyawan'!Print_Area</vt:lpstr>
      <vt:lpstr>'Slip Gaji Karyawan'!Print_Area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cp:lastPrinted>2026-08-08T10:38:42Z</cp:lastPrinted>
  <dcterms:created xsi:type="dcterms:W3CDTF">2026-08-08T09:24:13Z</dcterms:created>
  <dcterms:modified xsi:type="dcterms:W3CDTF">2026-08-08T10:40:09Z</dcterms:modified>
</cp:coreProperties>
</file>